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801" firstSheet="1" activeTab="9" autoFilterDateGrouping="1"/>
  </bookViews>
  <sheets>
    <sheet xmlns:r="http://schemas.openxmlformats.org/officeDocument/2006/relationships" name="收货记录查询" sheetId="1" state="visible" r:id="rId1"/>
    <sheet xmlns:r="http://schemas.openxmlformats.org/officeDocument/2006/relationships" name="总库存" sheetId="2" state="visible" r:id="rId2"/>
    <sheet xmlns:r="http://schemas.openxmlformats.org/officeDocument/2006/relationships" name="出库全流程" sheetId="3" state="visible" r:id="rId3"/>
    <sheet xmlns:r="http://schemas.openxmlformats.org/officeDocument/2006/relationships" name="广东省仓库存报表" sheetId="4" state="visible" r:id="rId4"/>
    <sheet xmlns:r="http://schemas.openxmlformats.org/officeDocument/2006/relationships" name="广东省仓多形态库存报表" sheetId="5" state="visible" r:id="rId5"/>
    <sheet xmlns:r="http://schemas.openxmlformats.org/officeDocument/2006/relationships" name="互联网省仓库存报表" sheetId="6" state="visible" r:id="rId6"/>
    <sheet xmlns:r="http://schemas.openxmlformats.org/officeDocument/2006/relationships" name="互联网中心仓库存报表" sheetId="7" state="visible" r:id="rId7"/>
    <sheet xmlns:r="http://schemas.openxmlformats.org/officeDocument/2006/relationships" name="出库全流程高级筛选" sheetId="8" state="visible" r:id="rId8"/>
    <sheet xmlns:r="http://schemas.openxmlformats.org/officeDocument/2006/relationships" name="收货记录查询高级筛选" sheetId="9" state="visible" r:id="rId9"/>
    <sheet xmlns:r="http://schemas.openxmlformats.org/officeDocument/2006/relationships" name="制表步骤" sheetId="10" state="visible" r:id="rId10"/>
    <sheet xmlns:r="http://schemas.openxmlformats.org/officeDocument/2006/relationships" name="匹配条件" sheetId="11" state="visible" r:id="rId11"/>
  </sheets>
  <definedNames>
    <definedName name="_xlnm._FilterDatabase" localSheetId="10" hidden="1">'匹配条件'!$D$1:$K$198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_);\(#,##0.00\)"/>
    <numFmt numFmtId="165" formatCode="yyyy&quot;年&quot;m&quot;月&quot;d&quot;日&quot;;@"/>
    <numFmt numFmtId="166" formatCode="#,##0_);\(#,##0\)"/>
    <numFmt numFmtId="167" formatCode="yyyy/mm/dd\ hh:mm:ss"/>
    <numFmt numFmtId="168" formatCode="yyyy/m/d;@"/>
    <numFmt numFmtId="169" formatCode="yyyy/m/d\ h:mm;@"/>
    <numFmt numFmtId="170" formatCode="m&quot;月&quot;d&quot;日&quot;;@"/>
    <numFmt numFmtId="171" formatCode="_ \¥* #,##0.00_ ;_ \¥* \-#,##0.00_ ;_ \¥* &quot;-&quot;??_ ;_ @_ "/>
    <numFmt numFmtId="172" formatCode="_ \¥* #,##0_ ;_ \¥* \-#,##0_ ;_ \¥* &quot;-&quot;_ ;_ @_ "/>
  </numFmts>
  <fonts count="39">
    <font>
      <name val="Arial"/>
      <charset val="134"/>
      <sz val="10"/>
    </font>
    <font>
      <name val="宋体"/>
      <charset val="134"/>
      <sz val="10"/>
    </font>
    <font>
      <name val="宋体"/>
      <charset val="134"/>
      <color theme="1"/>
      <sz val="12"/>
      <scheme val="minor"/>
    </font>
    <font>
      <name val="宋体"/>
      <charset val="134"/>
      <color indexed="8"/>
      <sz val="11"/>
      <scheme val="minor"/>
    </font>
    <font>
      <name val="Arial"/>
      <charset val="134"/>
      <sz val="12"/>
    </font>
    <font>
      <name val="宋体"/>
      <charset val="134"/>
      <b val="1"/>
      <color rgb="FFFF0000"/>
      <sz val="10"/>
    </font>
    <font>
      <name val="宋体"/>
      <charset val="134"/>
      <b val="1"/>
      <sz val="10"/>
    </font>
    <font>
      <name val="宋体"/>
      <charset val="134"/>
      <b val="1"/>
      <sz val="14"/>
    </font>
    <font>
      <name val="Arial"/>
      <charset val="134"/>
      <color indexed="8"/>
      <sz val="10"/>
    </font>
    <font>
      <name val="微软雅黑"/>
      <charset val="134"/>
      <sz val="10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Arial"/>
      <charset val="134"/>
      <b val="1"/>
      <color theme="1"/>
      <sz val="10"/>
    </font>
    <font>
      <name val="宋体"/>
      <charset val="134"/>
      <color theme="1"/>
      <sz val="11"/>
      <scheme val="minor"/>
    </font>
    <font>
      <name val="微软雅黑"/>
      <charset val="134"/>
      <b val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rgb="FFFF0000"/>
      <sz val="12"/>
    </font>
    <font>
      <name val="Arial"/>
      <charset val="134"/>
      <color rgb="FFFF0000"/>
      <sz val="12"/>
    </font>
  </fonts>
  <fills count="4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5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5" fillId="9" borderId="1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5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4" fillId="0" borderId="0" applyAlignment="1">
      <alignment vertical="center"/>
    </xf>
    <xf numFmtId="0" fontId="25" fillId="10" borderId="17" applyAlignment="1">
      <alignment vertical="center"/>
    </xf>
    <xf numFmtId="0" fontId="26" fillId="11" borderId="18" applyAlignment="1">
      <alignment vertical="center"/>
    </xf>
    <xf numFmtId="0" fontId="27" fillId="11" borderId="17" applyAlignment="1">
      <alignment vertical="center"/>
    </xf>
    <xf numFmtId="0" fontId="28" fillId="12" borderId="19" applyAlignment="1">
      <alignment vertical="center"/>
    </xf>
    <xf numFmtId="0" fontId="29" fillId="0" borderId="20" applyAlignment="1">
      <alignment vertical="center"/>
    </xf>
    <xf numFmtId="0" fontId="30" fillId="0" borderId="21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5" fillId="37" borderId="0" applyAlignment="1">
      <alignment vertical="center"/>
    </xf>
    <xf numFmtId="0" fontId="35" fillId="38" borderId="0" applyAlignment="1">
      <alignment vertical="center"/>
    </xf>
    <xf numFmtId="0" fontId="34" fillId="39" borderId="0" applyAlignment="1">
      <alignment vertical="center"/>
    </xf>
    <xf numFmtId="171" fontId="0" fillId="0" borderId="0"/>
    <xf numFmtId="172" fontId="0" fillId="0" borderId="0"/>
    <xf numFmtId="43" fontId="0" fillId="0" borderId="0"/>
    <xf numFmtId="41" fontId="0" fillId="0" borderId="0"/>
    <xf numFmtId="0" fontId="0" fillId="0" borderId="0"/>
    <xf numFmtId="9" fontId="0" fillId="0" borderId="0"/>
  </cellStyleXfs>
  <cellXfs count="179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6" fillId="0" borderId="0" applyAlignment="1" pivotButton="0" quotePrefix="0" xfId="0">
      <alignment horizontal="right" wrapText="1"/>
    </xf>
    <xf numFmtId="0" fontId="0" fillId="0" borderId="0" pivotButton="0" quotePrefix="0" xfId="53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22" fontId="3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/>
    </xf>
    <xf numFmtId="165" fontId="10" fillId="2" borderId="2" applyAlignment="1" pivotButton="0" quotePrefix="0" xfId="0">
      <alignment horizontal="right" vertical="center"/>
    </xf>
    <xf numFmtId="165" fontId="10" fillId="2" borderId="3" applyAlignment="1" pivotButton="0" quotePrefix="0" xfId="0">
      <alignment horizontal="right" vertical="center"/>
    </xf>
    <xf numFmtId="164" fontId="10" fillId="2" borderId="3" applyAlignment="1" pivotButton="0" quotePrefix="0" xfId="0">
      <alignment horizontal="left" vertical="center"/>
    </xf>
    <xf numFmtId="164" fontId="10" fillId="2" borderId="4" applyAlignment="1" pivotButton="0" quotePrefix="0" xfId="0">
      <alignment horizontal="left" vertical="center"/>
    </xf>
    <xf numFmtId="164" fontId="11" fillId="2" borderId="5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11" fillId="2" borderId="6" applyAlignment="1" pivotButton="0" quotePrefix="0" xfId="0">
      <alignment horizontal="center" vertical="center"/>
    </xf>
    <xf numFmtId="164" fontId="11" fillId="2" borderId="7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 wrapText="1"/>
    </xf>
    <xf numFmtId="164" fontId="11" fillId="2" borderId="8" applyAlignment="1" pivotButton="0" quotePrefix="0" xfId="0">
      <alignment horizontal="center" vertical="center"/>
    </xf>
    <xf numFmtId="164" fontId="11" fillId="2" borderId="9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12" fillId="0" borderId="2" applyAlignment="1" pivotButton="0" quotePrefix="0" xfId="0">
      <alignment horizontal="center"/>
    </xf>
    <xf numFmtId="166" fontId="12" fillId="0" borderId="4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167" fontId="13" fillId="0" borderId="2" applyAlignment="1" pivotButton="0" quotePrefix="0" xfId="0">
      <alignment horizontal="center"/>
    </xf>
    <xf numFmtId="168" fontId="13" fillId="5" borderId="2" applyAlignment="1" pivotButton="0" quotePrefix="0" xfId="0">
      <alignment horizontal="right"/>
    </xf>
    <xf numFmtId="165" fontId="13" fillId="5" borderId="3" pivotButton="0" quotePrefix="0" xfId="0"/>
    <xf numFmtId="168" fontId="13" fillId="5" borderId="2" pivotButton="0" quotePrefix="0" xfId="0"/>
    <xf numFmtId="0" fontId="14" fillId="0" borderId="0" pivotButton="0" quotePrefix="0" xfId="0"/>
    <xf numFmtId="164" fontId="11" fillId="0" borderId="1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4" fontId="11" fillId="6" borderId="1" applyAlignment="1" pivotButton="0" quotePrefix="0" xfId="0">
      <alignment vertical="center"/>
    </xf>
    <xf numFmtId="166" fontId="12" fillId="6" borderId="1" applyAlignment="1" pivotButton="0" quotePrefix="0" xfId="0">
      <alignment horizontal="center"/>
    </xf>
    <xf numFmtId="164" fontId="11" fillId="0" borderId="11" applyAlignment="1" pivotButton="0" quotePrefix="0" xfId="0">
      <alignment horizontal="center" vertical="center" wrapText="1"/>
    </xf>
    <xf numFmtId="164" fontId="11" fillId="0" borderId="1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7" applyAlignment="1" pivotButton="0" quotePrefix="0" xfId="0">
      <alignment horizontal="center" vertical="center" wrapText="1"/>
    </xf>
    <xf numFmtId="164" fontId="13" fillId="0" borderId="12" applyAlignment="1" pivotButton="0" quotePrefix="0" xfId="0">
      <alignment horizontal="center" vertical="center" wrapText="1"/>
    </xf>
    <xf numFmtId="164" fontId="13" fillId="0" borderId="13" applyAlignment="1" pivotButton="0" quotePrefix="0" xfId="0">
      <alignment horizontal="center" vertical="center" wrapText="1"/>
    </xf>
    <xf numFmtId="164" fontId="13" fillId="0" borderId="8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 wrapText="1"/>
    </xf>
    <xf numFmtId="0" fontId="11" fillId="0" borderId="1" pivotButton="0" quotePrefix="0" xfId="0"/>
    <xf numFmtId="165" fontId="13" fillId="5" borderId="1" pivotButton="0" quotePrefix="0" xfId="0"/>
    <xf numFmtId="164" fontId="9" fillId="0" borderId="0" applyAlignment="1" pivotButton="0" quotePrefix="0" xfId="0">
      <alignment horizontal="center"/>
    </xf>
    <xf numFmtId="164" fontId="11" fillId="6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64" fontId="11" fillId="5" borderId="10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164" fontId="11" fillId="5" borderId="1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left" vertical="center" wrapText="1"/>
    </xf>
    <xf numFmtId="164" fontId="11" fillId="5" borderId="5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0" fontId="0" fillId="0" borderId="0" pivotButton="0" quotePrefix="0" xfId="0"/>
    <xf numFmtId="164" fontId="11" fillId="0" borderId="1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6" borderId="10" applyAlignment="1" pivotButton="0" quotePrefix="0" xfId="0">
      <alignment horizontal="center" vertical="center"/>
    </xf>
    <xf numFmtId="164" fontId="11" fillId="0" borderId="5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/>
    </xf>
    <xf numFmtId="166" fontId="12" fillId="6" borderId="4" applyAlignment="1" pivotButton="0" quotePrefix="0" xfId="0">
      <alignment horizontal="center"/>
    </xf>
    <xf numFmtId="164" fontId="9" fillId="0" borderId="4" applyAlignment="1" pivotButton="0" quotePrefix="0" xfId="0">
      <alignment horizontal="center"/>
    </xf>
    <xf numFmtId="0" fontId="0" fillId="0" borderId="0" applyProtection="1" pivotButton="0" quotePrefix="0" xfId="53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53">
      <protection locked="0" hidden="0"/>
    </xf>
    <xf numFmtId="169" fontId="0" fillId="0" borderId="0" applyProtection="1" pivotButton="0" quotePrefix="0" xfId="53">
      <protection locked="0" hidden="0"/>
    </xf>
    <xf numFmtId="0" fontId="1" fillId="8" borderId="0" applyAlignment="1" applyProtection="1" pivotButton="0" quotePrefix="0" xfId="53">
      <alignment horizontal="center"/>
      <protection locked="0" hidden="0"/>
    </xf>
    <xf numFmtId="170" fontId="1" fillId="8" borderId="0" applyAlignment="1" applyProtection="1" pivotButton="0" quotePrefix="0" xfId="53">
      <alignment horizontal="center"/>
      <protection locked="0" hidden="0"/>
    </xf>
    <xf numFmtId="170" fontId="1" fillId="2" borderId="0" applyAlignment="1" applyProtection="1" pivotButton="0" quotePrefix="0" xfId="53">
      <alignment horizontal="center"/>
      <protection locked="0" hidden="0"/>
    </xf>
    <xf numFmtId="0" fontId="0" fillId="8" borderId="0" applyAlignment="1" pivotButton="0" quotePrefix="0" xfId="53">
      <alignment horizontal="center"/>
    </xf>
    <xf numFmtId="0" fontId="0" fillId="8" borderId="0" applyAlignment="1" applyProtection="1" pivotButton="0" quotePrefix="0" xfId="0">
      <alignment horizontal="center"/>
      <protection locked="0" hidden="0"/>
    </xf>
    <xf numFmtId="0" fontId="0" fillId="8" borderId="0" applyProtection="1" pivotButton="0" quotePrefix="0" xfId="0">
      <protection locked="0" hidden="0"/>
    </xf>
    <xf numFmtId="0" fontId="0" fillId="8" borderId="0" applyProtection="1" pivotButton="0" quotePrefix="0" xfId="53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1" fillId="8" borderId="0" applyAlignment="1" pivotButton="0" quotePrefix="0" xfId="53">
      <alignment horizontal="center"/>
    </xf>
    <xf numFmtId="0" fontId="1" fillId="8" borderId="0" pivotButton="0" quotePrefix="0" xfId="53"/>
    <xf numFmtId="0" fontId="0" fillId="8" borderId="0" pivotButton="0" quotePrefix="0" xfId="53"/>
    <xf numFmtId="0" fontId="0" fillId="8" borderId="0" pivotButton="0" quotePrefix="0" xfId="53"/>
    <xf numFmtId="0" fontId="0" fillId="8" borderId="0" applyAlignment="1" pivotButton="0" quotePrefix="0" xfId="0">
      <alignment horizontal="center"/>
    </xf>
    <xf numFmtId="170" fontId="0" fillId="8" borderId="0" applyAlignment="1" pivotButton="0" quotePrefix="0" xfId="0">
      <alignment horizontal="center"/>
    </xf>
    <xf numFmtId="169" fontId="0" fillId="0" borderId="0" pivotButton="0" quotePrefix="0" xfId="53"/>
    <xf numFmtId="0" fontId="0" fillId="0" borderId="0" pivotButton="0" quotePrefix="0" xfId="53"/>
    <xf numFmtId="170" fontId="1" fillId="8" borderId="0" applyAlignment="1" pivotButton="0" quotePrefix="0" xfId="53">
      <alignment horizontal="center"/>
    </xf>
    <xf numFmtId="170" fontId="0" fillId="8" borderId="0" applyAlignment="1" pivotButton="0" quotePrefix="0" xfId="53">
      <alignment horizontal="center"/>
    </xf>
    <xf numFmtId="170" fontId="0" fillId="8" borderId="0" applyAlignment="1" pivotButton="0" quotePrefix="0" xfId="0">
      <alignment horizontal="center"/>
    </xf>
    <xf numFmtId="169" fontId="0" fillId="0" borderId="0" pivotButton="0" quotePrefix="0" xfId="53"/>
    <xf numFmtId="170" fontId="1" fillId="8" borderId="0" applyAlignment="1" pivotButton="0" quotePrefix="0" xfId="53">
      <alignment horizontal="center"/>
    </xf>
    <xf numFmtId="170" fontId="0" fillId="8" borderId="0" applyAlignment="1" pivotButton="0" quotePrefix="0" xfId="53">
      <alignment horizontal="center"/>
    </xf>
    <xf numFmtId="170" fontId="1" fillId="8" borderId="0" applyAlignment="1" applyProtection="1" pivotButton="0" quotePrefix="0" xfId="53">
      <alignment horizontal="center"/>
      <protection locked="0" hidden="0"/>
    </xf>
    <xf numFmtId="169" fontId="0" fillId="0" borderId="0" applyProtection="1" pivotButton="0" quotePrefix="0" xfId="53">
      <protection locked="0" hidden="0"/>
    </xf>
    <xf numFmtId="170" fontId="1" fillId="2" borderId="0" applyAlignment="1" applyProtection="1" pivotButton="0" quotePrefix="0" xfId="53">
      <alignment horizontal="center"/>
      <protection locked="0" hidden="0"/>
    </xf>
    <xf numFmtId="164" fontId="9" fillId="0" borderId="0" applyAlignment="1" pivotButton="0" quotePrefix="0" xfId="0">
      <alignment horizontal="center"/>
    </xf>
    <xf numFmtId="165" fontId="10" fillId="2" borderId="2" applyAlignment="1" pivotButton="0" quotePrefix="0" xfId="0">
      <alignment horizontal="right" vertical="center"/>
    </xf>
    <xf numFmtId="0" fontId="0" fillId="0" borderId="3" pivotButton="0" quotePrefix="0" xfId="0"/>
    <xf numFmtId="164" fontId="10" fillId="2" borderId="4" applyAlignment="1" pivotButton="0" quotePrefix="0" xfId="0">
      <alignment horizontal="left" vertical="center"/>
    </xf>
    <xf numFmtId="0" fontId="0" fillId="0" borderId="4" pivotButton="0" quotePrefix="0" xfId="0"/>
    <xf numFmtId="164" fontId="11" fillId="2" borderId="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9" pivotButton="0" quotePrefix="0" xfId="0"/>
    <xf numFmtId="164" fontId="11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164" fontId="11" fillId="2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0" fillId="0" borderId="7" pivotButton="0" quotePrefix="0" xfId="0"/>
    <xf numFmtId="164" fontId="11" fillId="6" borderId="1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/>
    </xf>
    <xf numFmtId="164" fontId="16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1" pivotButton="0" quotePrefix="0" xfId="0"/>
    <xf numFmtId="164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16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4" fontId="11" fillId="7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left" vertical="center" wrapText="1"/>
    </xf>
    <xf numFmtId="164" fontId="11" fillId="0" borderId="10" applyAlignment="1" pivotButton="0" quotePrefix="0" xfId="0">
      <alignment horizontal="center" vertical="center"/>
    </xf>
    <xf numFmtId="164" fontId="11" fillId="6" borderId="1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5" borderId="5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/>
    </xf>
    <xf numFmtId="167" fontId="13" fillId="0" borderId="1" applyAlignment="1" pivotButton="0" quotePrefix="0" xfId="0">
      <alignment horizontal="center"/>
    </xf>
    <xf numFmtId="168" fontId="13" fillId="5" borderId="2" pivotButton="0" quotePrefix="0" xfId="0"/>
    <xf numFmtId="165" fontId="13" fillId="5" borderId="3" pivotButton="0" quotePrefix="0" xfId="0"/>
    <xf numFmtId="164" fontId="9" fillId="0" borderId="4" applyAlignment="1" pivotButton="0" quotePrefix="0" xfId="0">
      <alignment horizontal="center"/>
    </xf>
    <xf numFmtId="164" fontId="10" fillId="2" borderId="3" applyAlignment="1" pivotButton="0" quotePrefix="0" xfId="0">
      <alignment horizontal="left" vertical="center"/>
    </xf>
    <xf numFmtId="164" fontId="11" fillId="0" borderId="10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vertical="center"/>
    </xf>
    <xf numFmtId="164" fontId="11" fillId="0" borderId="1" pivotButton="0" quotePrefix="0" xfId="0"/>
    <xf numFmtId="164" fontId="11" fillId="0" borderId="11" applyAlignment="1" pivotButton="0" quotePrefix="0" xfId="0">
      <alignment horizontal="center" vertical="center" wrapText="1"/>
    </xf>
    <xf numFmtId="165" fontId="13" fillId="5" borderId="1" pivotButton="0" quotePrefix="0" xfId="0"/>
    <xf numFmtId="164" fontId="13" fillId="0" borderId="0" applyAlignment="1" pivotButton="0" quotePrefix="0" xfId="0">
      <alignment horizontal="center" vertical="center" wrapText="1"/>
    </xf>
    <xf numFmtId="168" fontId="13" fillId="5" borderId="2" applyAlignment="1" pivotButton="0" quotePrefix="0" xfId="0">
      <alignment horizontal="right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Comma" xfId="51"/>
    <cellStyle name="Comma [0]" xfId="52"/>
    <cellStyle name="Normal" xfId="53"/>
    <cellStyle name="Percent" xfId="5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K2"/>
  <sheetViews>
    <sheetView workbookViewId="0">
      <pane ySplit="1" topLeftCell="A284" activePane="bottomLeft" state="frozen"/>
      <selection activeCell="A1" sqref="A1"/>
      <selection pane="bottomLeft" activeCell="D423" sqref="A284:D423"/>
    </sheetView>
  </sheetViews>
  <sheetFormatPr baseColWidth="8" defaultColWidth="9.138888888888889" defaultRowHeight="13.2"/>
  <cols>
    <col width="10.712962962963" customWidth="1" style="113" min="1" max="1"/>
    <col width="7.33333333333333" customWidth="1" style="113" min="2" max="2"/>
    <col width="9.22222222222222" customWidth="1" style="119" min="3" max="3"/>
    <col width="28" customWidth="1" style="113" min="4" max="4"/>
    <col width="18.5740740740741" customWidth="1" style="120" min="5" max="5"/>
    <col width="11.8888888888889" customWidth="1" style="116" min="6" max="6"/>
    <col width="7" customWidth="1" style="116" min="7" max="7"/>
    <col width="11.287037037037" customWidth="1" style="116" min="8" max="8"/>
    <col width="13.4259259259259" customWidth="1" style="116" min="9" max="9"/>
    <col width="11.287037037037" customWidth="1" style="116" min="10" max="10"/>
    <col width="6.57407407407407" customWidth="1" style="116" min="11" max="11"/>
    <col width="39.712962962963" customWidth="1" style="116" min="12" max="12"/>
    <col width="13" customWidth="1" style="116" min="13" max="13"/>
    <col width="9.861111111111111" customWidth="1" style="116" min="14" max="14"/>
    <col width="25" customWidth="1" style="116" min="15" max="15"/>
    <col width="9.861111111111111" customWidth="1" style="116" min="16" max="16"/>
    <col width="7" customWidth="1" style="116" min="17" max="20"/>
    <col width="11.287037037037" customWidth="1" style="116" min="21" max="21"/>
    <col width="7" customWidth="1" style="116" min="22" max="22"/>
    <col width="9.28703703703704" customWidth="1" style="116" min="23" max="23"/>
    <col width="8.425925925925929" customWidth="1" style="116" min="24" max="24"/>
    <col width="13.287037037037" customWidth="1" style="116" min="25" max="25"/>
    <col width="11.287037037037" customWidth="1" style="116" min="26" max="26"/>
    <col width="9.861111111111111" customWidth="1" style="116" min="27" max="27"/>
    <col width="12.287037037037" customWidth="1" style="116" min="28" max="28"/>
    <col width="22" customWidth="1" style="116" min="29" max="29"/>
    <col width="5.28703703703704" customWidth="1" style="116" min="30" max="30"/>
    <col width="7" customWidth="1" style="116" min="31" max="32"/>
    <col width="9.861111111111111" customWidth="1" style="116" min="33" max="33"/>
    <col width="4.13888888888889" customWidth="1" style="116" min="34" max="34"/>
    <col width="15.5740740740741" customWidth="1" style="116" min="35" max="35"/>
    <col width="18.1388888888889" customWidth="1" style="116" min="36" max="36"/>
    <col width="11.287037037037" customWidth="1" style="116" min="37" max="37"/>
    <col width="9.138888888888889" customWidth="1" style="99" min="38" max="16384"/>
  </cols>
  <sheetData>
    <row r="1" ht="20" customHeight="1" s="88">
      <c r="A1" s="109" t="inlineStr">
        <is>
          <t>业务类型</t>
        </is>
      </c>
      <c r="B1" s="109" t="inlineStr">
        <is>
          <t>分类</t>
        </is>
      </c>
      <c r="C1" s="121" t="inlineStr">
        <is>
          <t>操作日期</t>
        </is>
      </c>
      <c r="D1" s="109">
        <f>E1&amp;F1&amp;G1</f>
        <v/>
      </c>
      <c r="E1" s="14" t="inlineStr">
        <is>
          <t>操作时间</t>
        </is>
      </c>
      <c r="F1" s="14" t="inlineStr">
        <is>
          <t>仓库</t>
        </is>
      </c>
      <c r="G1" s="14" t="inlineStr">
        <is>
          <t>货主</t>
        </is>
      </c>
      <c r="H1" s="14" t="inlineStr">
        <is>
          <t>库存地点</t>
        </is>
      </c>
      <c r="I1" s="14" t="inlineStr">
        <is>
          <t>指令编号</t>
        </is>
      </c>
      <c r="J1" s="14" t="inlineStr">
        <is>
          <t>指令行项</t>
        </is>
      </c>
      <c r="K1" s="14" t="inlineStr">
        <is>
          <t>物料编码</t>
        </is>
      </c>
      <c r="L1" s="14" t="inlineStr">
        <is>
          <t>物料描述</t>
        </is>
      </c>
      <c r="M1" s="14" t="inlineStr">
        <is>
          <t>厂商</t>
        </is>
      </c>
      <c r="N1" s="14" t="inlineStr">
        <is>
          <t>产品型号简称</t>
        </is>
      </c>
      <c r="O1" s="14" t="inlineStr">
        <is>
          <t>物料计费类型</t>
        </is>
      </c>
      <c r="P1" s="14" t="inlineStr">
        <is>
          <t>确认状态</t>
        </is>
      </c>
      <c r="Q1" s="14" t="inlineStr">
        <is>
          <t>移动方向</t>
        </is>
      </c>
      <c r="R1" s="14" t="inlineStr">
        <is>
          <t>移动类型</t>
        </is>
      </c>
      <c r="S1" s="14" t="inlineStr">
        <is>
          <t>特殊库存</t>
        </is>
      </c>
      <c r="T1" s="14" t="inlineStr">
        <is>
          <t>特殊库存编号</t>
        </is>
      </c>
      <c r="U1" s="14" t="inlineStr">
        <is>
          <t>批次号</t>
        </is>
      </c>
      <c r="V1" s="14" t="inlineStr">
        <is>
          <t>目的存储类型</t>
        </is>
      </c>
      <c r="W1" s="14" t="inlineStr">
        <is>
          <t>目的仓位</t>
        </is>
      </c>
      <c r="X1" s="14" t="inlineStr">
        <is>
          <t>目的存储单元编号</t>
        </is>
      </c>
      <c r="Y1" s="14" t="inlineStr">
        <is>
          <t>源数量</t>
        </is>
      </c>
      <c r="Z1" s="14" t="inlineStr">
        <is>
          <t>确认数量</t>
        </is>
      </c>
      <c r="AA1" s="14" t="inlineStr">
        <is>
          <t>确认差异数量</t>
        </is>
      </c>
      <c r="AB1" s="14" t="inlineStr">
        <is>
          <t>单位</t>
        </is>
      </c>
      <c r="AC1" s="14" t="inlineStr">
        <is>
          <t>用户</t>
        </is>
      </c>
      <c r="AD1" s="14" t="inlineStr">
        <is>
          <t>供应商</t>
        </is>
      </c>
      <c r="AE1" s="14" t="inlineStr">
        <is>
          <t>转储需求编号</t>
        </is>
      </c>
      <c r="AF1" s="14" t="inlineStr">
        <is>
          <t>订单号</t>
        </is>
      </c>
      <c r="AG1" s="14" t="inlineStr">
        <is>
          <t>采购订单行号</t>
        </is>
      </c>
      <c r="AH1" s="14" t="inlineStr">
        <is>
          <t>修改日期</t>
        </is>
      </c>
      <c r="AI1" s="14" t="inlineStr">
        <is>
          <t>修改用户</t>
        </is>
      </c>
      <c r="AJ1" s="14" t="inlineStr">
        <is>
          <t>创建日期</t>
        </is>
      </c>
      <c r="AK1" s="14" t="inlineStr">
        <is>
          <t>创建用户</t>
        </is>
      </c>
    </row>
    <row r="2" ht="14.4" customHeight="1" s="88">
      <c r="A2" s="104">
        <f>_xlfn.XLOOKUP(D2,匹配条件!K:K,匹配条件!J:J)</f>
        <v/>
      </c>
      <c r="B2" s="104">
        <f t="array" ref="B2">_xlfn.IFS(O2="10-终端","手机",O2="20-配件","配件",O2="30-促销品","促销品",O2="40-3C产品","多形态")</f>
        <v/>
      </c>
      <c r="C2" s="122">
        <f>INT(E2)</f>
        <v/>
      </c>
      <c r="D2" s="109">
        <f>F2&amp;G2</f>
        <v/>
      </c>
      <c r="E2" s="6" t="inlineStr">
        <is>
          <t>2026-06-22 21:32:17</t>
        </is>
      </c>
      <c r="F2" s="6" t="inlineStr">
        <is>
          <t>广东华为品牌专仓(科捷)</t>
        </is>
      </c>
      <c r="G2" s="6" t="inlineStr">
        <is>
          <t>4400</t>
        </is>
      </c>
      <c r="H2" s="6" t="inlineStr">
        <is>
          <t>2354</t>
        </is>
      </c>
      <c r="I2" s="6" t="inlineStr">
        <is>
          <t>1001520944</t>
        </is>
      </c>
      <c r="J2" s="6" t="inlineStr">
        <is>
          <t>000010|001</t>
        </is>
      </c>
      <c r="K2" s="6" t="inlineStr">
        <is>
          <t>10064829067000L0</t>
        </is>
      </c>
      <c r="L2" s="6" t="inlineStr">
        <is>
          <t>华为_CRS-AL00 12+256,晴空蓝,12+256G,全网通,销售用机</t>
        </is>
      </c>
      <c r="M2" s="6" t="inlineStr">
        <is>
          <t>华为</t>
        </is>
      </c>
      <c r="N2" s="6" t="inlineStr">
        <is>
          <t>nova 16 Pro 12+256</t>
        </is>
      </c>
      <c r="O2" s="6" t="inlineStr">
        <is>
          <t>10-终端</t>
        </is>
      </c>
      <c r="P2" s="6" t="inlineStr">
        <is>
          <t>创建</t>
        </is>
      </c>
      <c r="Q2" s="6" t="inlineStr">
        <is>
          <t>入库</t>
        </is>
      </c>
      <c r="R2" s="6" t="inlineStr">
        <is>
          <t>10</t>
        </is>
      </c>
      <c r="S2" s="6" t="inlineStr">
        <is>
          <t>X</t>
        </is>
      </c>
      <c r="T2" s="6" t="inlineStr">
        <is>
          <t>0006112176</t>
        </is>
      </c>
      <c r="U2" s="6" t="inlineStr">
        <is>
          <t>2026</t>
        </is>
      </c>
      <c r="V2" s="6" t="inlineStr">
        <is>
          <t>SHKQ</t>
        </is>
      </c>
      <c r="W2" s="6" t="inlineStr">
        <is>
          <t>REMAIN</t>
        </is>
      </c>
      <c r="X2" s="6" t="inlineStr">
        <is>
          <t>1677</t>
        </is>
      </c>
      <c r="Y2" s="6" t="n">
        <v>50</v>
      </c>
      <c r="Z2" s="6" t="n">
        <v>0</v>
      </c>
      <c r="AA2" s="6" t="n">
        <v>50</v>
      </c>
      <c r="AB2" s="6" t="inlineStr">
        <is>
          <t>个</t>
        </is>
      </c>
      <c r="AC2" s="6" t="inlineStr">
        <is>
          <t>赖锦燕</t>
        </is>
      </c>
      <c r="AD2" s="6" t="inlineStr">
        <is>
          <t>X</t>
        </is>
      </c>
      <c r="AE2" s="6" t="inlineStr">
        <is>
          <t>SH26062202248</t>
        </is>
      </c>
      <c r="AF2" s="6" t="inlineStr">
        <is>
          <t>4501507511</t>
        </is>
      </c>
      <c r="AG2" s="6" t="inlineStr">
        <is>
          <t>000010|001</t>
        </is>
      </c>
      <c r="AH2" s="6" t="inlineStr">
        <is>
          <t>2026-06-22 21:32:17</t>
        </is>
      </c>
      <c r="AI2" s="6" t="inlineStr">
        <is>
          <t>赖锦燕</t>
        </is>
      </c>
      <c r="AJ2" s="6" t="inlineStr">
        <is>
          <t>2026-06-22 21:32:17</t>
        </is>
      </c>
      <c r="AK2" s="6" t="inlineStr">
        <is>
          <t>赖锦燕</t>
        </is>
      </c>
    </row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W2"/>
  <sheetViews>
    <sheetView workbookViewId="0">
      <pane ySplit="1" topLeftCell="A4796" activePane="bottomLeft" state="frozen"/>
      <selection activeCell="A1" sqref="A1"/>
      <selection pane="bottomLeft" activeCell="N4817" sqref="N4817"/>
    </sheetView>
  </sheetViews>
  <sheetFormatPr baseColWidth="8" defaultColWidth="9.138888888888889" defaultRowHeight="14.4"/>
  <cols>
    <col width="13" customWidth="1" style="105" min="1" max="1"/>
    <col width="7.13888888888889" customWidth="1" style="106" min="2" max="2"/>
    <col width="22.5740740740741" customWidth="1" style="106" min="3" max="3"/>
    <col width="22.8611111111111" customWidth="1" style="107" min="4" max="4"/>
    <col width="6.66666666666667" customWidth="1" style="107" min="5" max="5"/>
    <col width="32.1388888888889" customWidth="1" style="108" min="6" max="6"/>
    <col width="10.287037037037" customWidth="1" style="108" min="7" max="17"/>
    <col width="10.287037037037" customWidth="1" style="108" min="18" max="23"/>
    <col width="9.138888888888889" customWidth="1" style="99" min="24" max="16384"/>
  </cols>
  <sheetData>
    <row r="1" ht="15" customFormat="1" customHeight="1" s="99">
      <c r="A1" s="101" t="inlineStr">
        <is>
          <t>业务类型</t>
        </is>
      </c>
      <c r="B1" s="101" t="inlineStr">
        <is>
          <t>分类</t>
        </is>
      </c>
      <c r="C1" s="123">
        <f>F1&amp;G1&amp;H1</f>
        <v/>
      </c>
      <c r="D1" s="101">
        <f>A1&amp;I1</f>
        <v/>
      </c>
      <c r="E1" s="101" t="inlineStr">
        <is>
          <t>SKU</t>
        </is>
      </c>
      <c r="F1" s="14" t="inlineStr">
        <is>
          <t>仓库</t>
        </is>
      </c>
      <c r="G1" s="14" t="inlineStr">
        <is>
          <t>货主</t>
        </is>
      </c>
      <c r="H1" s="14" t="inlineStr">
        <is>
          <t>库存地点</t>
        </is>
      </c>
      <c r="I1" s="14" t="inlineStr">
        <is>
          <t>物料编码</t>
        </is>
      </c>
      <c r="J1" s="14" t="inlineStr">
        <is>
          <t>物料描述</t>
        </is>
      </c>
      <c r="K1" s="14" t="inlineStr">
        <is>
          <t>是否冻结</t>
        </is>
      </c>
      <c r="L1" s="14" t="inlineStr">
        <is>
          <t>特殊库存</t>
        </is>
      </c>
      <c r="M1" s="14" t="inlineStr">
        <is>
          <t>特殊库存编码</t>
        </is>
      </c>
      <c r="N1" s="14" t="inlineStr">
        <is>
          <t>总数量</t>
        </is>
      </c>
      <c r="O1" s="14" t="inlineStr">
        <is>
          <t>可用数量</t>
        </is>
      </c>
      <c r="P1" s="14" t="inlineStr">
        <is>
          <t>占用数量</t>
        </is>
      </c>
      <c r="Q1" s="14" t="inlineStr">
        <is>
          <t>收货数量</t>
        </is>
      </c>
      <c r="R1" s="14" t="inlineStr">
        <is>
          <t>存货数量</t>
        </is>
      </c>
      <c r="S1" s="14" t="inlineStr">
        <is>
          <t>中间数量</t>
        </is>
      </c>
      <c r="T1" s="14" t="inlineStr">
        <is>
          <t>外部编码</t>
        </is>
      </c>
      <c r="U1" s="14" t="inlineStr">
        <is>
          <t>品牌名称</t>
        </is>
      </c>
      <c r="V1" s="14" t="inlineStr">
        <is>
          <t>产品型号简称</t>
        </is>
      </c>
      <c r="W1" s="14" t="inlineStr">
        <is>
          <t>物料计费类型</t>
        </is>
      </c>
    </row>
    <row r="2" customFormat="1" s="98">
      <c r="A2" s="109">
        <f>_xlfn.XLOOKUP(C2,匹配条件!K:K,匹配条件!J:J)</f>
        <v/>
      </c>
      <c r="B2" s="104">
        <f t="array" ref="B2">_xlfn.IFS(W2="10-终端","手机",W2="20-配件","配件",W2="30-促销品","促销品",W2="40-3C产品","多形态")</f>
        <v/>
      </c>
      <c r="C2" s="110">
        <f>F2&amp;G2</f>
        <v/>
      </c>
      <c r="D2" s="112">
        <f>IF(R2=0,0,A2&amp;I2)</f>
        <v/>
      </c>
      <c r="E2" s="112">
        <f>COUNTIF($D$2:D2,D2)</f>
        <v/>
      </c>
      <c r="F2" s="6" t="inlineStr">
        <is>
          <t>总部深圳通用总仓(科捷)</t>
        </is>
      </c>
      <c r="G2" s="6" t="inlineStr">
        <is>
          <t>1000</t>
        </is>
      </c>
      <c r="H2" s="6" t="inlineStr">
        <is>
          <t>2009</t>
        </is>
      </c>
      <c r="I2" s="6" t="inlineStr">
        <is>
          <t>1006241008000100</t>
        </is>
      </c>
      <c r="J2" s="6" t="inlineStr">
        <is>
          <t>华为_ASN-AL10,蓝色,通用内存单电单充,公开版,销售用机</t>
        </is>
      </c>
      <c r="K2" s="6" t="inlineStr">
        <is>
          <t>否</t>
        </is>
      </c>
      <c r="L2" s="6" t="inlineStr">
        <is>
          <t>X</t>
        </is>
      </c>
      <c r="M2" s="6" t="inlineStr">
        <is>
          <t>X</t>
        </is>
      </c>
      <c r="N2" s="6" t="n">
        <v>90989</v>
      </c>
      <c r="O2" s="6" t="n">
        <v>90989</v>
      </c>
      <c r="P2" s="6" t="n">
        <v>0</v>
      </c>
      <c r="Q2" s="6" t="n">
        <v>0</v>
      </c>
      <c r="R2" s="6" t="n">
        <v>90989</v>
      </c>
      <c r="S2" s="6" t="n">
        <v>0</v>
      </c>
      <c r="T2" s="6" t="inlineStr">
        <is>
          <t>1006241008000100</t>
        </is>
      </c>
      <c r="U2" s="6" t="inlineStr">
        <is>
          <t>华为</t>
        </is>
      </c>
      <c r="V2" s="6" t="inlineStr">
        <is>
          <t>华为儿童手表 4 PRO</t>
        </is>
      </c>
      <c r="W2" s="6" t="inlineStr">
        <is>
          <t>40-3C产品</t>
        </is>
      </c>
    </row>
    <row r="3" customFormat="1" s="98"/>
    <row r="4" customFormat="1" s="98"/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1" topLeftCell="A3048" activePane="bottomLeft" state="frozen"/>
      <selection activeCell="A1" sqref="A1"/>
      <selection pane="bottomLeft" activeCell="I3074" sqref="I3074"/>
    </sheetView>
  </sheetViews>
  <sheetFormatPr baseColWidth="8" defaultColWidth="8.888888888888889" defaultRowHeight="13.2"/>
  <cols>
    <col width="13" customWidth="1" style="98" min="1" max="1"/>
    <col width="7.33333333333333" customWidth="1" style="98" min="2" max="3"/>
    <col width="17.287037037037" customWidth="1" style="98" min="4" max="4"/>
    <col width="11.712962962963" customWidth="1" style="99" min="5" max="5"/>
    <col width="9" customWidth="1" style="99" min="6" max="6"/>
    <col width="13" customWidth="1" style="99" min="7" max="7"/>
    <col width="9.425925925925929" customWidth="1" style="99" min="8" max="8"/>
    <col width="11" customWidth="1" style="99" min="9" max="9"/>
    <col width="9" customWidth="1" style="99" min="10" max="11"/>
    <col width="11" customWidth="1" style="99" min="12" max="12"/>
    <col width="9" customWidth="1" style="99" min="13" max="14"/>
    <col width="11" customWidth="1" style="99" min="15" max="15"/>
    <col width="16" customWidth="1" style="99" min="16" max="16"/>
    <col width="13" customWidth="1" style="99" min="17" max="17"/>
    <col width="17.287037037037" customWidth="1" style="99" min="18" max="18"/>
    <col width="9" customWidth="1" style="99" min="19" max="20"/>
    <col width="22.5740740740741" customWidth="1" style="99" min="21" max="21"/>
    <col width="26.4259259259259" customWidth="1" style="99" min="22" max="22"/>
    <col width="19.4259259259259" customWidth="1" style="99" min="23" max="23"/>
    <col width="13" customWidth="1" style="99" min="24" max="24"/>
    <col width="18.8611111111111" customWidth="1" style="99" min="25" max="25"/>
    <col width="19.4259259259259" customWidth="1" style="99" min="26" max="27"/>
    <col width="35.712962962963" customWidth="1" style="99" min="28" max="28"/>
    <col width="9" customWidth="1" style="99" min="29" max="29"/>
    <col width="5.57407407407407" customWidth="1" style="99" min="30" max="30"/>
    <col width="11" customWidth="1" style="99" min="31" max="33"/>
    <col width="14.1111111111111" customWidth="1" style="99" min="34" max="34"/>
    <col width="13" customWidth="1" style="99" min="35" max="35"/>
    <col width="22" customWidth="1" style="124" min="36" max="36"/>
    <col width="9" customWidth="1" style="99" min="37" max="37"/>
    <col width="7.13888888888889" customWidth="1" style="99" min="38" max="38"/>
    <col width="9" customWidth="1" style="99" min="39" max="39"/>
    <col width="13" customWidth="1" style="99" min="40" max="40"/>
    <col width="19.1388888888889" customWidth="1" style="99" min="41" max="41"/>
    <col width="59.712962962963" customWidth="1" style="99" min="42" max="42"/>
    <col width="25.287037037037" customWidth="1" style="99" min="43" max="43"/>
    <col width="16.712962962963" customWidth="1" style="99" min="44" max="44"/>
    <col width="17.5740740740741" customWidth="1" style="99" min="45" max="45"/>
    <col width="52.5740740740741" customWidth="1" style="99" min="46" max="46"/>
    <col width="7" customWidth="1" style="99" min="47" max="47"/>
    <col width="11.287037037037" customWidth="1" style="99" min="48" max="48"/>
    <col width="14.1388888888889" customWidth="1" style="99" min="49" max="49"/>
    <col width="28.4259259259259" customWidth="1" style="99" min="50" max="50"/>
    <col width="7.28703703703704" customWidth="1" style="99" min="51" max="51"/>
    <col width="16.8611111111111" customWidth="1" style="99" min="52" max="52"/>
    <col width="12.287037037037" customWidth="1" style="99" min="53" max="53"/>
    <col width="7.28703703703704" customWidth="1" style="99" min="54" max="54"/>
    <col width="11.287037037037" customWidth="1" style="99" min="55" max="55"/>
    <col width="7.28703703703704" customWidth="1" style="99" min="56" max="56"/>
    <col width="17" customWidth="1" style="99" min="57" max="57"/>
    <col width="7.28703703703704" customWidth="1" style="99" min="58" max="58"/>
    <col width="15.5740740740741" customWidth="1" style="99" min="59" max="59"/>
    <col width="79.1388888888889" customWidth="1" style="99" min="60" max="60"/>
    <col width="9.28703703703704" customWidth="1" style="99" min="61" max="61"/>
    <col width="5.57407407407407" customWidth="1" style="99" min="62" max="62"/>
    <col width="11.287037037037" customWidth="1" style="99" min="63" max="64"/>
    <col width="7" customWidth="1" style="99" min="65" max="65"/>
    <col width="31" customWidth="1" style="99" min="66" max="66"/>
    <col width="20.1388888888889" customWidth="1" style="99" min="67" max="67"/>
    <col width="19.4259259259259" customWidth="1" style="99" min="68" max="68"/>
    <col width="9.861111111111111" customWidth="1" style="99" min="69" max="69"/>
    <col width="19.4259259259259" customWidth="1" style="99" min="70" max="70"/>
    <col width="9.861111111111111" customWidth="1" style="99" min="71" max="71"/>
    <col width="8.888888888888889" customWidth="1" style="98" min="72" max="16384"/>
  </cols>
  <sheetData>
    <row r="1" ht="15" customFormat="1" customHeight="1" s="99">
      <c r="A1" s="101" t="inlineStr">
        <is>
          <t>业务类型</t>
        </is>
      </c>
      <c r="B1" s="101" t="inlineStr">
        <is>
          <t>分类</t>
        </is>
      </c>
      <c r="C1" s="123" t="inlineStr">
        <is>
          <t>数量</t>
        </is>
      </c>
      <c r="D1" s="125" t="inlineStr">
        <is>
          <t>仓库货主库存地点</t>
        </is>
      </c>
      <c r="E1" s="14" t="inlineStr">
        <is>
          <t>发货仓库</t>
        </is>
      </c>
      <c r="F1" s="14" t="inlineStr">
        <is>
          <t>移出货主</t>
        </is>
      </c>
      <c r="G1" s="14" t="inlineStr">
        <is>
          <t>移出库存地</t>
        </is>
      </c>
      <c r="H1" s="14" t="inlineStr">
        <is>
          <t>指令类型</t>
        </is>
      </c>
      <c r="I1" s="14" t="inlineStr">
        <is>
          <t>指令编号</t>
        </is>
      </c>
      <c r="J1" s="14" t="inlineStr">
        <is>
          <t>交货序号</t>
        </is>
      </c>
      <c r="K1" s="14" t="inlineStr">
        <is>
          <t>指令行号</t>
        </is>
      </c>
      <c r="L1" s="14" t="inlineStr">
        <is>
          <t>数量</t>
        </is>
      </c>
      <c r="M1" s="14" t="inlineStr">
        <is>
          <t>毛重</t>
        </is>
      </c>
      <c r="N1" s="14" t="inlineStr">
        <is>
          <t>重量单位</t>
        </is>
      </c>
      <c r="O1" s="14" t="inlineStr">
        <is>
          <t>体积</t>
        </is>
      </c>
      <c r="P1" s="14" t="inlineStr">
        <is>
          <t>指令来源</t>
        </is>
      </c>
      <c r="Q1" s="14" t="inlineStr">
        <is>
          <t>指令状态</t>
        </is>
      </c>
      <c r="R1" s="14" t="inlineStr">
        <is>
          <t>接口状态</t>
        </is>
      </c>
      <c r="S1" s="14" t="inlineStr">
        <is>
          <t>是否回传签收时间</t>
        </is>
      </c>
      <c r="T1" s="14" t="inlineStr">
        <is>
          <t>是否撤单</t>
        </is>
      </c>
      <c r="U1" s="14" t="inlineStr">
        <is>
          <t>移出物料</t>
        </is>
      </c>
      <c r="V1" s="14" t="inlineStr">
        <is>
          <t>移出物料描述</t>
        </is>
      </c>
      <c r="W1" s="14" t="inlineStr">
        <is>
          <t>厂商</t>
        </is>
      </c>
      <c r="X1" s="14" t="inlineStr">
        <is>
          <t>产品型号简称</t>
        </is>
      </c>
      <c r="Y1" s="14" t="inlineStr">
        <is>
          <t>产品类别描述</t>
        </is>
      </c>
      <c r="Z1" s="14" t="inlineStr">
        <is>
          <t>型号描述</t>
        </is>
      </c>
      <c r="AA1" s="14" t="inlineStr">
        <is>
          <t>颜色描述</t>
        </is>
      </c>
      <c r="AB1" s="14" t="inlineStr">
        <is>
          <t>物料计费类型</t>
        </is>
      </c>
      <c r="AC1" s="14" t="inlineStr">
        <is>
          <t>支付时间</t>
        </is>
      </c>
      <c r="AD1" s="14" t="inlineStr">
        <is>
          <t>波次号</t>
        </is>
      </c>
      <c r="AE1" s="14" t="inlineStr">
        <is>
          <t>拣选模式</t>
        </is>
      </c>
      <c r="AF1" s="14" t="inlineStr">
        <is>
          <t>拣货单号</t>
        </is>
      </c>
      <c r="AG1" s="14" t="inlineStr">
        <is>
          <t>播种位置</t>
        </is>
      </c>
      <c r="AH1" s="14" t="inlineStr">
        <is>
          <t>运单编号</t>
        </is>
      </c>
      <c r="AI1" s="14" t="inlineStr">
        <is>
          <t>运单创建时间</t>
        </is>
      </c>
      <c r="AJ1" s="14" t="inlineStr">
        <is>
          <t>运单出库时间</t>
        </is>
      </c>
      <c r="AK1" s="14" t="inlineStr">
        <is>
          <t>快递单编号</t>
        </is>
      </c>
      <c r="AL1" s="14" t="inlineStr">
        <is>
          <t>快递子单号</t>
        </is>
      </c>
      <c r="AM1" s="14" t="inlineStr">
        <is>
          <t>承运商名称</t>
        </is>
      </c>
      <c r="AN1" s="14" t="inlineStr">
        <is>
          <t>签收录入时间</t>
        </is>
      </c>
      <c r="AO1" s="14" t="inlineStr">
        <is>
          <t>纸质签收时间</t>
        </is>
      </c>
      <c r="AP1" s="14" t="inlineStr">
        <is>
          <t>签收人</t>
        </is>
      </c>
      <c r="AQ1" s="14" t="inlineStr">
        <is>
          <t>电子签时间</t>
        </is>
      </c>
      <c r="AR1" s="14" t="inlineStr">
        <is>
          <t>签收图片上传时</t>
        </is>
      </c>
      <c r="AS1" s="14" t="inlineStr">
        <is>
          <t>运单状态</t>
        </is>
      </c>
      <c r="AT1" s="14" t="inlineStr">
        <is>
          <t>scm订单号</t>
        </is>
      </c>
      <c r="AU1" s="14" t="inlineStr">
        <is>
          <t>指令号+行号+交货序号</t>
        </is>
      </c>
      <c r="AV1" s="14" t="inlineStr">
        <is>
          <t>物流通知</t>
        </is>
      </c>
      <c r="AW1" s="14" t="inlineStr">
        <is>
          <t>外部接口物流信息</t>
        </is>
      </c>
      <c r="AX1" s="14" t="inlineStr">
        <is>
          <t>物流对象编码</t>
        </is>
      </c>
      <c r="AY1" s="14" t="inlineStr">
        <is>
          <t>物流对象描述</t>
        </is>
      </c>
      <c r="AZ1" s="14" t="inlineStr">
        <is>
          <t>售达方编号</t>
        </is>
      </c>
      <c r="BA1" s="14" t="inlineStr">
        <is>
          <t>售达方名称</t>
        </is>
      </c>
      <c r="BB1" s="14" t="inlineStr">
        <is>
          <t>零售分销标识</t>
        </is>
      </c>
      <c r="BC1" s="14" t="inlineStr">
        <is>
          <t>收货人</t>
        </is>
      </c>
      <c r="BD1" s="14" t="inlineStr">
        <is>
          <t>电话1</t>
        </is>
      </c>
      <c r="BE1" s="14" t="inlineStr">
        <is>
          <t>省份描述</t>
        </is>
      </c>
      <c r="BF1" s="14" t="inlineStr">
        <is>
          <t>城市描述</t>
        </is>
      </c>
      <c r="BG1" s="14" t="inlineStr">
        <is>
          <t>地区描述</t>
        </is>
      </c>
      <c r="BH1" s="14" t="inlineStr">
        <is>
          <t>区县内部划分</t>
        </is>
      </c>
      <c r="BI1" s="14" t="inlineStr">
        <is>
          <t>收货地址</t>
        </is>
      </c>
      <c r="BJ1" s="14" t="inlineStr">
        <is>
          <t>要求到货日期</t>
        </is>
      </c>
      <c r="BK1" s="14" t="inlineStr">
        <is>
          <t>拣配人</t>
        </is>
      </c>
      <c r="BL1" s="14" t="inlineStr">
        <is>
          <t>指令创建用户</t>
        </is>
      </c>
      <c r="BM1" s="14" t="inlineStr">
        <is>
          <t>指令下达时间</t>
        </is>
      </c>
      <c r="BN1" s="14" t="inlineStr">
        <is>
          <t>指令修改用户</t>
        </is>
      </c>
      <c r="BO1" s="14" t="inlineStr">
        <is>
          <t>指令修改日期</t>
        </is>
      </c>
      <c r="BP1" s="14" t="inlineStr">
        <is>
          <t>是否合约机</t>
        </is>
      </c>
      <c r="BQ1" s="14" t="inlineStr">
        <is>
          <t>要求发货时间</t>
        </is>
      </c>
      <c r="BR1" s="14" t="inlineStr">
        <is>
          <t>销售组织</t>
        </is>
      </c>
      <c r="BS1" s="14" t="inlineStr">
        <is>
          <t>异常消息</t>
        </is>
      </c>
    </row>
    <row r="2" ht="14.4" customHeight="1" s="88">
      <c r="A2" s="104">
        <f t="array" ref="A2">_xlfn.IFS(AND(E2="104",F2="4400"),"深圳省仓",AND(E2="443",F2="4400"),"花都省仓",AND(E2="447",F2="4400"),"夏茅省仓",AND(E2="445",F2="4400"),"南沙省仓",AND(E2="448",F2="4400"),"中珠省仓",AND(E2="449",F2="4400"),"东莞省仓",AND(E2="440",F2="4400",G2&lt;&gt;"2352",BB2="A"),"零售电商仓",AND(E2="440",OR(F2="4400",F2="4450")),"增城省仓",AND(E2="441",F2="1000"),"互联网中心仓",E2="441","互联网省仓")</f>
        <v/>
      </c>
      <c r="B2" s="104">
        <f t="array" ref="B2">_xlfn.IFS(AB2="10-终端","手机",AB2="20-配件","配件",AB2="30-促销品","促销品",AB2="40-3C产品","多形态")</f>
        <v/>
      </c>
      <c r="C2" s="104">
        <f>L2+0</f>
        <v/>
      </c>
      <c r="D2" s="104">
        <f>E2&amp;F2</f>
        <v/>
      </c>
      <c r="E2" s="6" t="inlineStr">
        <is>
          <t>440</t>
        </is>
      </c>
      <c r="F2" s="6" t="inlineStr">
        <is>
          <t>4400</t>
        </is>
      </c>
      <c r="G2" s="6" t="inlineStr">
        <is>
          <t>2001</t>
        </is>
      </c>
      <c r="H2" s="6" t="inlineStr">
        <is>
          <t>11</t>
        </is>
      </c>
      <c r="I2" s="6" t="inlineStr">
        <is>
          <t>1169908500</t>
        </is>
      </c>
      <c r="J2" s="6" t="inlineStr">
        <is>
          <t>001</t>
        </is>
      </c>
      <c r="K2" s="6" t="inlineStr">
        <is>
          <t>000010</t>
        </is>
      </c>
      <c r="L2" s="6" t="inlineStr">
        <is>
          <t>1.0</t>
        </is>
      </c>
      <c r="M2" s="6" t="inlineStr">
        <is>
          <t>0.51</t>
        </is>
      </c>
      <c r="N2" s="6" t="inlineStr">
        <is>
          <t>Kg</t>
        </is>
      </c>
      <c r="O2" s="6" t="inlineStr">
        <is>
          <t>0.0</t>
        </is>
      </c>
      <c r="P2" s="6" t="inlineStr">
        <is>
          <t>SCM</t>
        </is>
      </c>
      <c r="Q2" s="6" t="inlineStr">
        <is>
          <t>已发运</t>
        </is>
      </c>
      <c r="R2" s="6" t="inlineStr">
        <is>
          <t>发货</t>
        </is>
      </c>
      <c r="S2" s="6" t="inlineStr">
        <is>
          <t>否</t>
        </is>
      </c>
      <c r="T2" s="6" t="inlineStr">
        <is>
          <t>否</t>
        </is>
      </c>
      <c r="U2" s="6" t="inlineStr">
        <is>
          <t>1B872154M11000L0</t>
        </is>
      </c>
      <c r="V2" s="6" t="inlineStr">
        <is>
          <t>荣耀_600 元气版  VKJ-AN90 12+512G,好事橙,512G,全网通,销售用机</t>
        </is>
      </c>
      <c r="W2" s="6" t="inlineStr">
        <is>
          <t>荣耀</t>
        </is>
      </c>
      <c r="X2" s="6" t="inlineStr">
        <is>
          <t>600 元气版 12+512G</t>
        </is>
      </c>
      <c r="Y2" s="6" t="inlineStr">
        <is>
          <t>手机-其他</t>
        </is>
      </c>
      <c r="Z2" s="6" t="inlineStr">
        <is>
          <t>600 元气版  VKJ-AN90 12+512G</t>
        </is>
      </c>
      <c r="AA2" s="6" t="inlineStr">
        <is>
          <t>好事橙</t>
        </is>
      </c>
      <c r="AB2" s="6" t="inlineStr">
        <is>
          <t>10-终端</t>
        </is>
      </c>
      <c r="AC2" s="6" t="n"/>
      <c r="AD2" s="6" t="inlineStr">
        <is>
          <t>BC26062202195</t>
        </is>
      </c>
      <c r="AE2" s="6" t="inlineStr">
        <is>
          <t>边捡边播</t>
        </is>
      </c>
      <c r="AF2" s="6" t="inlineStr">
        <is>
          <t>PK26062205352</t>
        </is>
      </c>
      <c r="AG2" s="6" t="inlineStr">
        <is>
          <t>7</t>
        </is>
      </c>
      <c r="AH2" s="6" t="inlineStr">
        <is>
          <t>Z16045051194</t>
        </is>
      </c>
      <c r="AI2" s="6" t="inlineStr">
        <is>
          <t>2026-06-22 20:30:51</t>
        </is>
      </c>
      <c r="AJ2" s="6" t="inlineStr">
        <is>
          <t>2026-06-22 21:12:12</t>
        </is>
      </c>
      <c r="AK2" s="6" t="inlineStr">
        <is>
          <t>JDV028096414962</t>
        </is>
      </c>
      <c r="AL2" s="6" t="n"/>
      <c r="AM2" s="6" t="inlineStr">
        <is>
          <t>北京京邦达贸易有限公司</t>
        </is>
      </c>
      <c r="AN2" s="6" t="n"/>
      <c r="AO2" s="6" t="n"/>
      <c r="AP2" s="6" t="n"/>
      <c r="AQ2" s="6" t="n"/>
      <c r="AR2" s="6" t="n"/>
      <c r="AS2" s="6" t="inlineStr">
        <is>
          <t>出库完成</t>
        </is>
      </c>
      <c r="AT2" s="6" t="inlineStr">
        <is>
          <t>1062486796</t>
        </is>
      </c>
      <c r="AU2" s="6" t="inlineStr">
        <is>
          <t>1169908500000010001</t>
        </is>
      </c>
      <c r="AV2" s="6" t="inlineStr">
        <is>
          <t>GD260622193615489</t>
        </is>
      </c>
      <c r="AW2" s="6" t="inlineStr">
        <is>
          <t>FH-ZD-2606222012377141</t>
        </is>
      </c>
      <c r="AX2" s="6" t="inlineStr">
        <is>
          <t>0080475599</t>
        </is>
      </c>
      <c r="AY2" s="6" t="inlineStr">
        <is>
          <t>海丰县中移贸易有限公司</t>
        </is>
      </c>
      <c r="AZ2" s="6" t="inlineStr">
        <is>
          <t>0080475599</t>
        </is>
      </c>
      <c r="BA2" s="6" t="inlineStr">
        <is>
          <t>海丰县中移贸易有限公司</t>
        </is>
      </c>
      <c r="BB2" s="6" t="inlineStr">
        <is>
          <t>B</t>
        </is>
      </c>
      <c r="BC2" s="6" t="inlineStr">
        <is>
          <t>郑**</t>
        </is>
      </c>
      <c r="BD2" s="6" t="inlineStr">
        <is>
          <t>157****4333</t>
        </is>
      </c>
      <c r="BE2" s="6" t="inlineStr">
        <is>
          <t>广东省</t>
        </is>
      </c>
      <c r="BF2" s="6" t="inlineStr">
        <is>
          <t>汕尾市</t>
        </is>
      </c>
      <c r="BG2" s="6" t="inlineStr">
        <is>
          <t>海丰县</t>
        </is>
      </c>
      <c r="BH2" s="6" t="inlineStr">
        <is>
          <t>一般地区</t>
        </is>
      </c>
      <c r="BI2" s="6" t="inlineStr">
        <is>
          <t>[E]QC+*********************************************************************************************************</t>
        </is>
      </c>
      <c r="BJ2" s="6" t="inlineStr">
        <is>
          <t>2026-06-24 18:00:00</t>
        </is>
      </c>
      <c r="BK2" s="6" t="inlineStr">
        <is>
          <t>杨磊</t>
        </is>
      </c>
      <c r="BL2" s="6" t="inlineStr">
        <is>
          <t>系统用户</t>
        </is>
      </c>
      <c r="BM2" s="6" t="inlineStr">
        <is>
          <t>2026-06-22 20:24:10</t>
        </is>
      </c>
      <c r="BN2" s="6" t="inlineStr">
        <is>
          <t>杨金凤</t>
        </is>
      </c>
      <c r="BO2" s="6" t="inlineStr">
        <is>
          <t>2026-06-22 21:12:17</t>
        </is>
      </c>
      <c r="BP2" s="6" t="inlineStr">
        <is>
          <t>否</t>
        </is>
      </c>
      <c r="BQ2" s="6" t="n"/>
      <c r="BR2" s="6" t="inlineStr">
        <is>
          <t>4400</t>
        </is>
      </c>
      <c r="BS2" s="6" t="inlineStr"/>
    </row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  <row r="424" ht="14.4" customHeight="1" s="88"/>
    <row r="425" ht="14.4" customHeight="1" s="88"/>
    <row r="426" ht="14.4" customHeight="1" s="88"/>
    <row r="427" ht="14.4" customHeight="1" s="88"/>
    <row r="428" ht="14.4" customHeight="1" s="88"/>
    <row r="429" ht="14.4" customHeight="1" s="88"/>
    <row r="430" ht="14.4" customHeight="1" s="88"/>
    <row r="431" ht="14.4" customHeight="1" s="88"/>
    <row r="432" ht="14.4" customHeight="1" s="88"/>
    <row r="433" ht="14.4" customHeight="1" s="88"/>
    <row r="434" ht="14.4" customHeight="1" s="88"/>
    <row r="435" ht="14.4" customHeight="1" s="88"/>
    <row r="436" ht="14.4" customHeight="1" s="88"/>
    <row r="437" ht="14.4" customHeight="1" s="88"/>
    <row r="438" ht="14.4" customHeight="1" s="88"/>
    <row r="439" ht="14.4" customHeight="1" s="88"/>
    <row r="440" ht="14.4" customHeight="1" s="88"/>
    <row r="441" ht="14.4" customHeight="1" s="88"/>
    <row r="442" ht="14.4" customHeight="1" s="88"/>
    <row r="443" ht="14.4" customHeight="1" s="88"/>
    <row r="444" ht="14.4" customHeight="1" s="88"/>
    <row r="445" ht="14.4" customHeight="1" s="88"/>
    <row r="446" ht="14.4" customHeight="1" s="88"/>
    <row r="447" ht="14.4" customHeight="1" s="88"/>
    <row r="448" ht="14.4" customHeight="1" s="88"/>
    <row r="449" ht="14.4" customHeight="1" s="88"/>
    <row r="450" ht="14.4" customHeight="1" s="88"/>
    <row r="451" ht="14.4" customHeight="1" s="88"/>
    <row r="452" ht="14.4" customHeight="1" s="88"/>
    <row r="453" ht="14.4" customHeight="1" s="88"/>
    <row r="454" ht="14.4" customHeight="1" s="88"/>
    <row r="455" ht="14.4" customHeight="1" s="88"/>
    <row r="456" ht="14.4" customHeight="1" s="88"/>
    <row r="457" ht="14.4" customHeight="1" s="88"/>
    <row r="458" ht="14.4" customHeight="1" s="88"/>
    <row r="459" ht="14.4" customHeight="1" s="88"/>
    <row r="460" ht="14.4" customHeight="1" s="88"/>
    <row r="461" ht="14.4" customHeight="1" s="88"/>
    <row r="462" ht="14.4" customHeight="1" s="88"/>
    <row r="463" ht="14.4" customHeight="1" s="88"/>
    <row r="464" ht="14.4" customHeight="1" s="88"/>
    <row r="465" ht="14.4" customHeight="1" s="88"/>
    <row r="466" ht="14.4" customHeight="1" s="88"/>
    <row r="467" ht="14.4" customHeight="1" s="88"/>
    <row r="468" ht="14.4" customHeight="1" s="88"/>
    <row r="469" ht="14.4" customHeight="1" s="88"/>
    <row r="470" ht="14.4" customHeight="1" s="88"/>
    <row r="471" ht="14.4" customHeight="1" s="88"/>
    <row r="472" ht="14.4" customHeight="1" s="88"/>
    <row r="473" ht="14.4" customHeight="1" s="88"/>
    <row r="474" ht="14.4" customHeight="1" s="88"/>
    <row r="475" ht="14.4" customHeight="1" s="88"/>
    <row r="476" ht="14.4" customHeight="1" s="88"/>
    <row r="477" ht="14.4" customHeight="1" s="88"/>
    <row r="478" ht="14.4" customHeight="1" s="88"/>
    <row r="479" ht="14.4" customHeight="1" s="88"/>
    <row r="480" ht="14.4" customHeight="1" s="88"/>
    <row r="481" ht="14.4" customHeight="1" s="88"/>
    <row r="482" ht="14.4" customHeight="1" s="88"/>
    <row r="483" ht="14.4" customHeight="1" s="88"/>
    <row r="484" ht="14.4" customHeight="1" s="88"/>
    <row r="485" ht="14.4" customHeight="1" s="88"/>
    <row r="486" ht="14.4" customHeight="1" s="88"/>
    <row r="487" ht="14.4" customHeight="1" s="88"/>
    <row r="488" ht="14.4" customHeight="1" s="88"/>
    <row r="489" ht="14.4" customHeight="1" s="88"/>
    <row r="490" ht="14.4" customHeight="1" s="88"/>
    <row r="491" ht="14.4" customHeight="1" s="88"/>
    <row r="492" ht="14.4" customHeight="1" s="88"/>
    <row r="493" ht="14.4" customHeight="1" s="88"/>
    <row r="494" ht="14.4" customHeight="1" s="88"/>
    <row r="495" ht="14.4" customHeight="1" s="88"/>
    <row r="496" ht="14.4" customHeight="1" s="88"/>
    <row r="497" ht="14.4" customHeight="1" s="88"/>
    <row r="498" ht="14.4" customHeight="1" s="88"/>
    <row r="499" ht="14.4" customHeight="1" s="88"/>
    <row r="500" ht="14.4" customHeight="1" s="88"/>
    <row r="501" ht="14.4" customHeight="1" s="88"/>
    <row r="502" ht="14.4" customHeight="1" s="88"/>
    <row r="503" ht="14.4" customHeight="1" s="88"/>
    <row r="504" ht="14.4" customHeight="1" s="88"/>
    <row r="505" ht="14.4" customHeight="1" s="88"/>
    <row r="506" ht="14.4" customHeight="1" s="88"/>
    <row r="507" ht="14.4" customHeight="1" s="88"/>
    <row r="508" ht="14.4" customHeight="1" s="88"/>
    <row r="509" ht="14.4" customHeight="1" s="88"/>
    <row r="510" ht="14.4" customHeight="1" s="88"/>
    <row r="511" ht="14.4" customHeight="1" s="88"/>
    <row r="512" ht="14.4" customHeight="1" s="88"/>
    <row r="513" ht="14.4" customHeight="1" s="88"/>
    <row r="514" ht="14.4" customHeight="1" s="88"/>
    <row r="515" ht="14.4" customHeight="1" s="88"/>
    <row r="516" ht="14.4" customHeight="1" s="88"/>
    <row r="517" ht="14.4" customHeight="1" s="88"/>
    <row r="518" ht="14.4" customHeight="1" s="88"/>
    <row r="519" ht="14.4" customHeight="1" s="88"/>
    <row r="520" ht="14.4" customHeight="1" s="88"/>
    <row r="521" ht="14.4" customHeight="1" s="88"/>
    <row r="522" ht="14.4" customHeight="1" s="88"/>
    <row r="523" ht="14.4" customHeight="1" s="88"/>
    <row r="524" ht="14.4" customHeight="1" s="88"/>
    <row r="525" ht="14.4" customHeight="1" s="88"/>
    <row r="526" ht="14.4" customHeight="1" s="88"/>
    <row r="527" ht="14.4" customHeight="1" s="88"/>
    <row r="528" ht="14.4" customHeight="1" s="88"/>
    <row r="529" ht="14.4" customHeight="1" s="88"/>
    <row r="530" ht="14.4" customHeight="1" s="88"/>
    <row r="531" ht="14.4" customHeight="1" s="88"/>
    <row r="532" ht="14.4" customHeight="1" s="88"/>
    <row r="533" ht="14.4" customHeight="1" s="88"/>
    <row r="534" ht="14.4" customHeight="1" s="88"/>
    <row r="535" ht="14.4" customHeight="1" s="88"/>
    <row r="536" ht="14.4" customHeight="1" s="88"/>
    <row r="537" ht="14.4" customHeight="1" s="88"/>
    <row r="538" ht="14.4" customHeight="1" s="88"/>
    <row r="539" ht="14.4" customHeight="1" s="88"/>
    <row r="540" ht="14.4" customHeight="1" s="88"/>
    <row r="541" ht="14.4" customHeight="1" s="88"/>
    <row r="542" ht="14.4" customHeight="1" s="88"/>
    <row r="543" ht="14.4" customHeight="1" s="88"/>
    <row r="544" ht="14.4" customHeight="1" s="88"/>
    <row r="545" ht="14.4" customHeight="1" s="88"/>
    <row r="546" ht="14.4" customHeight="1" s="88"/>
    <row r="547" ht="14.4" customHeight="1" s="88"/>
    <row r="548" ht="14.4" customHeight="1" s="88"/>
    <row r="549" ht="14.4" customHeight="1" s="88"/>
    <row r="550" ht="14.4" customHeight="1" s="88"/>
    <row r="551" ht="14.4" customHeight="1" s="88"/>
    <row r="552" ht="14.4" customHeight="1" s="88"/>
    <row r="553" ht="14.4" customHeight="1" s="88"/>
    <row r="554" ht="14.4" customHeight="1" s="88"/>
    <row r="555" ht="14.4" customHeight="1" s="88"/>
    <row r="556" ht="14.4" customHeight="1" s="88"/>
    <row r="557" ht="14.4" customHeight="1" s="88"/>
    <row r="558" ht="14.4" customHeight="1" s="88"/>
    <row r="559" ht="14.4" customHeight="1" s="88"/>
    <row r="560" ht="14.4" customHeight="1" s="88"/>
    <row r="561" ht="14.4" customHeight="1" s="88"/>
    <row r="562" ht="14.4" customHeight="1" s="88"/>
    <row r="563" ht="14.4" customHeight="1" s="88"/>
    <row r="564" ht="14.4" customHeight="1" s="88"/>
    <row r="565" ht="14.4" customHeight="1" s="88"/>
    <row r="566" ht="14.4" customHeight="1" s="88"/>
    <row r="567" ht="14.4" customHeight="1" s="88"/>
    <row r="568" ht="14.4" customHeight="1" s="88"/>
    <row r="569" ht="14.4" customHeight="1" s="88"/>
    <row r="570" ht="14.4" customHeight="1" s="88"/>
    <row r="571" ht="14.4" customHeight="1" s="88"/>
    <row r="572" ht="14.4" customHeight="1" s="88"/>
    <row r="573" ht="14.4" customHeight="1" s="88"/>
    <row r="574" ht="14.4" customHeight="1" s="88"/>
    <row r="575" ht="14.4" customHeight="1" s="88"/>
    <row r="576" ht="14.4" customHeight="1" s="88"/>
    <row r="577" ht="14.4" customHeight="1" s="88"/>
    <row r="578" ht="14.4" customHeight="1" s="88"/>
    <row r="579" ht="14.4" customHeight="1" s="88"/>
    <row r="580" ht="14.4" customHeight="1" s="88"/>
    <row r="581" ht="14.4" customHeight="1" s="88"/>
    <row r="582" ht="14.4" customHeight="1" s="88"/>
    <row r="583" ht="14.4" customHeight="1" s="88"/>
    <row r="584" ht="14.4" customHeight="1" s="88"/>
    <row r="585" ht="14.4" customHeight="1" s="88"/>
    <row r="586" ht="14.4" customHeight="1" s="88"/>
    <row r="587" ht="14.4" customHeight="1" s="88"/>
    <row r="588" ht="14.4" customHeight="1" s="88"/>
    <row r="589" ht="14.4" customHeight="1" s="88"/>
    <row r="590" ht="14.4" customHeight="1" s="88"/>
    <row r="591" ht="14.4" customHeight="1" s="88"/>
    <row r="592" ht="14.4" customHeight="1" s="88"/>
    <row r="593" ht="14.4" customHeight="1" s="88"/>
    <row r="594" ht="14.4" customHeight="1" s="88"/>
    <row r="595" ht="14.4" customHeight="1" s="88"/>
    <row r="596" ht="14.4" customHeight="1" s="88"/>
    <row r="597" ht="14.4" customHeight="1" s="88"/>
    <row r="598" ht="14.4" customHeight="1" s="88"/>
    <row r="599" ht="14.4" customHeight="1" s="88"/>
    <row r="600" ht="14.4" customHeight="1" s="88"/>
    <row r="601" ht="14.4" customHeight="1" s="88"/>
    <row r="602" ht="14.4" customHeight="1" s="88"/>
    <row r="603" ht="14.4" customHeight="1" s="88"/>
    <row r="604" ht="14.4" customHeight="1" s="88"/>
    <row r="605" ht="14.4" customHeight="1" s="88"/>
    <row r="606" ht="14.4" customHeight="1" s="88"/>
    <row r="607" ht="14.4" customHeight="1" s="88"/>
    <row r="608" ht="14.4" customHeight="1" s="88"/>
    <row r="609" ht="14.4" customHeight="1" s="88"/>
    <row r="610" ht="14.4" customHeight="1" s="88"/>
    <row r="611" ht="14.4" customHeight="1" s="88"/>
    <row r="612" ht="14.4" customHeight="1" s="88"/>
    <row r="613" ht="14.4" customHeight="1" s="88"/>
    <row r="614" ht="14.4" customHeight="1" s="88"/>
    <row r="615" ht="14.4" customHeight="1" s="88"/>
    <row r="616" ht="14.4" customHeight="1" s="88"/>
    <row r="617" ht="14.4" customHeight="1" s="88"/>
    <row r="618" ht="14.4" customHeight="1" s="88"/>
    <row r="619" ht="14.4" customHeight="1" s="88"/>
    <row r="620" ht="14.4" customHeight="1" s="88"/>
    <row r="621" ht="14.4" customHeight="1" s="88"/>
    <row r="622" ht="14.4" customHeight="1" s="88"/>
    <row r="623" ht="14.4" customHeight="1" s="88"/>
    <row r="624" ht="14.4" customHeight="1" s="88"/>
    <row r="625" ht="14.4" customHeight="1" s="88"/>
    <row r="626" ht="14.4" customHeight="1" s="88"/>
    <row r="627" ht="14.4" customHeight="1" s="88"/>
    <row r="628" ht="14.4" customHeight="1" s="88"/>
    <row r="629" ht="14.4" customHeight="1" s="88"/>
    <row r="630" ht="14.4" customHeight="1" s="88"/>
    <row r="631" ht="14.4" customHeight="1" s="88"/>
    <row r="632" ht="14.4" customHeight="1" s="88"/>
    <row r="633" ht="14.4" customHeight="1" s="88"/>
    <row r="634" ht="14.4" customHeight="1" s="88"/>
    <row r="635" ht="14.4" customHeight="1" s="88"/>
    <row r="636" ht="14.4" customHeight="1" s="88"/>
    <row r="637" ht="14.4" customHeight="1" s="88"/>
    <row r="638" ht="14.4" customHeight="1" s="88"/>
    <row r="639" ht="14.4" customHeight="1" s="88"/>
    <row r="640" ht="14.4" customHeight="1" s="88"/>
    <row r="641" ht="14.4" customHeight="1" s="88"/>
    <row r="642" ht="14.4" customHeight="1" s="88"/>
    <row r="643" ht="14.4" customHeight="1" s="88"/>
    <row r="644" ht="14.4" customHeight="1" s="88"/>
    <row r="645" ht="14.4" customHeight="1" s="88"/>
    <row r="646" ht="14.4" customHeight="1" s="88"/>
    <row r="647" ht="14.4" customHeight="1" s="88"/>
    <row r="648" ht="14.4" customHeight="1" s="88"/>
    <row r="649" ht="14.4" customHeight="1" s="88"/>
    <row r="650" ht="14.4" customHeight="1" s="88"/>
    <row r="651" ht="14.4" customHeight="1" s="88"/>
    <row r="652" ht="14.4" customHeight="1" s="88"/>
    <row r="653" ht="14.4" customHeight="1" s="88"/>
    <row r="654" ht="14.4" customHeight="1" s="88"/>
    <row r="655" ht="14.4" customHeight="1" s="88"/>
    <row r="656" ht="14.4" customHeight="1" s="88"/>
    <row r="657" ht="14.4" customHeight="1" s="88"/>
    <row r="658" ht="14.4" customHeight="1" s="88"/>
    <row r="659" ht="14.4" customHeight="1" s="88"/>
    <row r="660" ht="14.4" customHeight="1" s="88"/>
    <row r="661" ht="14.4" customHeight="1" s="88"/>
    <row r="662" ht="14.4" customHeight="1" s="88"/>
    <row r="663" ht="14.4" customHeight="1" s="88"/>
    <row r="664" ht="14.4" customHeight="1" s="88"/>
    <row r="665" ht="14.4" customHeight="1" s="88"/>
    <row r="666" ht="14.4" customHeight="1" s="88"/>
    <row r="667" ht="14.4" customHeight="1" s="88"/>
    <row r="668" ht="14.4" customHeight="1" s="88"/>
    <row r="669" ht="14.4" customHeight="1" s="88"/>
    <row r="670" ht="14.4" customHeight="1" s="88"/>
    <row r="671" ht="14.4" customHeight="1" s="88"/>
    <row r="672" ht="14.4" customHeight="1" s="88"/>
    <row r="673" ht="14.4" customHeight="1" s="88"/>
    <row r="674" ht="14.4" customHeight="1" s="88"/>
    <row r="675" ht="14.4" customHeight="1" s="88"/>
    <row r="676" ht="14.4" customHeight="1" s="88"/>
    <row r="677" ht="14.4" customHeight="1" s="88"/>
    <row r="678" ht="14.4" customHeight="1" s="88"/>
    <row r="679" ht="14.4" customHeight="1" s="88"/>
    <row r="680" ht="14.4" customHeight="1" s="88"/>
    <row r="681" ht="14.4" customHeight="1" s="88"/>
    <row r="682" ht="14.4" customHeight="1" s="88"/>
    <row r="683" ht="14.4" customHeight="1" s="88"/>
    <row r="684" ht="14.4" customHeight="1" s="88"/>
    <row r="685" ht="14.4" customHeight="1" s="88"/>
    <row r="686" ht="14.4" customHeight="1" s="88"/>
    <row r="687" ht="14.4" customHeight="1" s="88"/>
    <row r="688" ht="14.4" customHeight="1" s="88"/>
    <row r="689" ht="14.4" customHeight="1" s="88"/>
    <row r="690" ht="14.4" customHeight="1" s="88"/>
    <row r="691" ht="14.4" customHeight="1" s="88"/>
    <row r="692" ht="14.4" customHeight="1" s="88"/>
    <row r="693" ht="14.4" customHeight="1" s="88"/>
    <row r="694" ht="14.4" customHeight="1" s="88"/>
    <row r="695" ht="14.4" customHeight="1" s="88"/>
    <row r="696" ht="14.4" customHeight="1" s="88"/>
    <row r="697" ht="14.4" customHeight="1" s="88"/>
    <row r="698" ht="14.4" customHeight="1" s="88"/>
    <row r="699" ht="14.4" customHeight="1" s="88"/>
    <row r="700" ht="14.4" customHeight="1" s="88"/>
    <row r="701" ht="14.4" customHeight="1" s="88"/>
    <row r="702" ht="14.4" customHeight="1" s="88"/>
    <row r="703" ht="14.4" customHeight="1" s="88"/>
    <row r="704" ht="14.4" customHeight="1" s="88"/>
    <row r="705" ht="14.4" customHeight="1" s="88"/>
    <row r="706" ht="14.4" customHeight="1" s="88"/>
    <row r="707" ht="14.4" customHeight="1" s="88"/>
    <row r="708" ht="14.4" customHeight="1" s="88"/>
    <row r="709" ht="14.4" customHeight="1" s="88"/>
    <row r="710" ht="14.4" customHeight="1" s="88"/>
    <row r="711" ht="14.4" customHeight="1" s="88"/>
    <row r="712" ht="14.4" customHeight="1" s="88"/>
    <row r="713" ht="14.4" customHeight="1" s="88"/>
    <row r="714" ht="14.4" customHeight="1" s="88"/>
    <row r="715" ht="14.4" customHeight="1" s="88"/>
    <row r="716" ht="14.4" customHeight="1" s="88"/>
    <row r="717" ht="14.4" customHeight="1" s="88"/>
    <row r="718" ht="14.4" customHeight="1" s="88"/>
    <row r="719" ht="14.4" customHeight="1" s="88"/>
    <row r="720" ht="14.4" customHeight="1" s="88"/>
    <row r="721" ht="14.4" customHeight="1" s="88"/>
    <row r="722" ht="14.4" customHeight="1" s="88"/>
    <row r="723" ht="14.4" customHeight="1" s="88"/>
    <row r="724" ht="14.4" customHeight="1" s="88"/>
    <row r="725" ht="14.4" customHeight="1" s="88"/>
    <row r="726" ht="14.4" customHeight="1" s="88"/>
    <row r="727" ht="14.4" customHeight="1" s="88"/>
    <row r="728" ht="14.4" customHeight="1" s="88"/>
    <row r="729" ht="14.4" customHeight="1" s="88"/>
    <row r="730" ht="14.4" customHeight="1" s="88"/>
    <row r="731" ht="14.4" customHeight="1" s="88"/>
    <row r="732" ht="14.4" customHeight="1" s="88"/>
    <row r="733" ht="14.4" customHeight="1" s="88"/>
    <row r="734" ht="14.4" customHeight="1" s="88"/>
    <row r="735" ht="14.4" customHeight="1" s="88"/>
    <row r="736" ht="14.4" customHeight="1" s="88"/>
    <row r="737" ht="14.4" customHeight="1" s="88"/>
    <row r="738" ht="14.4" customHeight="1" s="88"/>
    <row r="739" ht="14.4" customHeight="1" s="88"/>
    <row r="740" ht="14.4" customHeight="1" s="88"/>
    <row r="741" ht="14.4" customHeight="1" s="88"/>
    <row r="742" ht="14.4" customHeight="1" s="88"/>
    <row r="743" ht="14.4" customHeight="1" s="88"/>
    <row r="744" ht="14.4" customHeight="1" s="88"/>
    <row r="745" ht="14.4" customHeight="1" s="88"/>
    <row r="746" ht="14.4" customHeight="1" s="88"/>
    <row r="747" ht="14.4" customHeight="1" s="88"/>
    <row r="748" ht="14.4" customHeight="1" s="88"/>
    <row r="749" ht="14.4" customHeight="1" s="88"/>
    <row r="750" ht="14.4" customHeight="1" s="88"/>
    <row r="751" ht="14.4" customHeight="1" s="88"/>
    <row r="752" ht="14.4" customHeight="1" s="88"/>
    <row r="753" ht="14.4" customHeight="1" s="88"/>
    <row r="754" ht="14.4" customHeight="1" s="88"/>
    <row r="755" ht="14.4" customHeight="1" s="88"/>
    <row r="756" ht="14.4" customHeight="1" s="88"/>
    <row r="757" ht="14.4" customHeight="1" s="88"/>
    <row r="758" ht="14.4" customHeight="1" s="88"/>
    <row r="759" ht="14.4" customHeight="1" s="88"/>
    <row r="760" ht="14.4" customHeight="1" s="88"/>
    <row r="761" ht="14.4" customHeight="1" s="88"/>
    <row r="762" ht="14.4" customHeight="1" s="88"/>
    <row r="763" ht="14.4" customHeight="1" s="88"/>
    <row r="764" ht="14.4" customHeight="1" s="88"/>
    <row r="765" ht="14.4" customHeight="1" s="88"/>
    <row r="766" ht="14.4" customHeight="1" s="88"/>
    <row r="767" ht="14.4" customHeight="1" s="88"/>
    <row r="768" ht="14.4" customHeight="1" s="88"/>
    <row r="769" ht="14.4" customHeight="1" s="88"/>
    <row r="770" ht="14.4" customHeight="1" s="88"/>
    <row r="771" ht="14.4" customHeight="1" s="88"/>
    <row r="772" ht="14.4" customHeight="1" s="88"/>
    <row r="773" ht="14.4" customHeight="1" s="88"/>
    <row r="774" ht="14.4" customHeight="1" s="88"/>
    <row r="775" ht="14.4" customHeight="1" s="88"/>
    <row r="776" ht="14.4" customHeight="1" s="88"/>
    <row r="777" ht="14.4" customHeight="1" s="88"/>
    <row r="778" ht="14.4" customHeight="1" s="88"/>
    <row r="779" ht="14.4" customHeight="1" s="88"/>
    <row r="780" ht="14.4" customHeight="1" s="88"/>
    <row r="781" ht="14.4" customHeight="1" s="88"/>
    <row r="782" ht="14.4" customHeight="1" s="88"/>
    <row r="783" ht="14.4" customHeight="1" s="88"/>
    <row r="784" ht="14.4" customHeight="1" s="88"/>
    <row r="785" ht="14.4" customHeight="1" s="88"/>
    <row r="786" ht="14.4" customHeight="1" s="88"/>
    <row r="787" ht="14.4" customHeight="1" s="88"/>
    <row r="788" ht="14.4" customHeight="1" s="88"/>
    <row r="789" ht="14.4" customHeight="1" s="88"/>
    <row r="790" ht="14.4" customHeight="1" s="88"/>
    <row r="791" ht="14.4" customHeight="1" s="88"/>
    <row r="792" ht="14.4" customHeight="1" s="88"/>
    <row r="793" ht="14.4" customHeight="1" s="88"/>
    <row r="794" ht="14.4" customHeight="1" s="88"/>
    <row r="795" ht="14.4" customHeight="1" s="88"/>
    <row r="796" ht="14.4" customHeight="1" s="88"/>
    <row r="797" ht="14.4" customHeight="1" s="88"/>
    <row r="798" ht="14.4" customHeight="1" s="88"/>
    <row r="799" ht="14.4" customHeight="1" s="88"/>
    <row r="800" ht="14.4" customHeight="1" s="88"/>
    <row r="801" ht="14.4" customHeight="1" s="88"/>
    <row r="802" ht="14.4" customHeight="1" s="88"/>
    <row r="803" ht="14.4" customHeight="1" s="88"/>
    <row r="804" ht="14.4" customHeight="1" s="88"/>
    <row r="805" ht="14.4" customHeight="1" s="88"/>
    <row r="806" ht="14.4" customHeight="1" s="88"/>
    <row r="807" ht="14.4" customHeight="1" s="88"/>
    <row r="808" ht="14.4" customHeight="1" s="88"/>
    <row r="809" ht="14.4" customHeight="1" s="88"/>
    <row r="810" ht="14.4" customHeight="1" s="88"/>
    <row r="811" ht="14.4" customHeight="1" s="88"/>
    <row r="812" ht="14.4" customHeight="1" s="88"/>
    <row r="813" ht="14.4" customHeight="1" s="88"/>
    <row r="814" ht="14.4" customHeight="1" s="88"/>
    <row r="815" ht="14.4" customHeight="1" s="88"/>
    <row r="816" ht="14.4" customHeight="1" s="88"/>
    <row r="817" ht="14.4" customHeight="1" s="88"/>
    <row r="818" ht="14.4" customHeight="1" s="88"/>
    <row r="819" ht="14.4" customHeight="1" s="88"/>
    <row r="820" ht="14.4" customHeight="1" s="88"/>
    <row r="821" ht="14.4" customHeight="1" s="88"/>
    <row r="822" ht="14.4" customHeight="1" s="88"/>
    <row r="823" ht="14.4" customHeight="1" s="88"/>
    <row r="824" ht="14.4" customHeight="1" s="88"/>
    <row r="825" ht="14.4" customHeight="1" s="88"/>
    <row r="826" ht="14.4" customHeight="1" s="88"/>
    <row r="827" ht="14.4" customHeight="1" s="88"/>
    <row r="828" ht="14.4" customHeight="1" s="88"/>
    <row r="829" ht="14.4" customHeight="1" s="88"/>
    <row r="830" ht="14.4" customHeight="1" s="88"/>
    <row r="831" ht="14.4" customHeight="1" s="88"/>
    <row r="832" ht="14.4" customHeight="1" s="88"/>
    <row r="833" ht="14.4" customHeight="1" s="88"/>
    <row r="834" ht="14.4" customHeight="1" s="88"/>
    <row r="835" ht="14.4" customHeight="1" s="88"/>
    <row r="836" ht="14.4" customHeight="1" s="88"/>
    <row r="837" ht="14.4" customHeight="1" s="88"/>
    <row r="838" ht="14.4" customHeight="1" s="88"/>
    <row r="839" ht="14.4" customHeight="1" s="88"/>
    <row r="840" ht="14.4" customHeight="1" s="88"/>
    <row r="841" ht="14.4" customHeight="1" s="88"/>
    <row r="842" ht="14.4" customHeight="1" s="88"/>
    <row r="843" ht="14.4" customHeight="1" s="88"/>
    <row r="844" ht="14.4" customHeight="1" s="88"/>
    <row r="845" ht="14.4" customHeight="1" s="88"/>
    <row r="846" ht="14.4" customHeight="1" s="88"/>
    <row r="847" ht="14.4" customHeight="1" s="88"/>
    <row r="848" ht="14.4" customHeight="1" s="88"/>
    <row r="849" ht="14.4" customHeight="1" s="88"/>
    <row r="850" ht="14.4" customHeight="1" s="88"/>
    <row r="851" ht="14.4" customHeight="1" s="88"/>
    <row r="852" ht="14.4" customHeight="1" s="88"/>
    <row r="853" ht="14.4" customHeight="1" s="88"/>
    <row r="854" ht="14.4" customHeight="1" s="88"/>
    <row r="855" ht="14.4" customHeight="1" s="88"/>
    <row r="856" ht="14.4" customHeight="1" s="88"/>
    <row r="857" ht="14.4" customHeight="1" s="88"/>
    <row r="858" ht="14.4" customHeight="1" s="88"/>
    <row r="859" ht="14.4" customHeight="1" s="88"/>
    <row r="860" ht="14.4" customHeight="1" s="88"/>
    <row r="861" ht="14.4" customHeight="1" s="88"/>
    <row r="862" ht="14.4" customHeight="1" s="88"/>
    <row r="863" ht="14.4" customHeight="1" s="88"/>
    <row r="864" ht="14.4" customHeight="1" s="88"/>
    <row r="865" ht="14.4" customHeight="1" s="88"/>
    <row r="866" ht="14.4" customHeight="1" s="88"/>
    <row r="867" ht="14.4" customHeight="1" s="88"/>
    <row r="868" ht="14.4" customHeight="1" s="88"/>
    <row r="869" ht="14.4" customHeight="1" s="88"/>
    <row r="870" ht="14.4" customHeight="1" s="88"/>
    <row r="871" ht="14.4" customHeight="1" s="88"/>
    <row r="872" ht="14.4" customHeight="1" s="88"/>
    <row r="873" ht="14.4" customHeight="1" s="88"/>
    <row r="874" ht="14.4" customHeight="1" s="88"/>
    <row r="875" ht="14.4" customHeight="1" s="88"/>
    <row r="876" ht="14.4" customHeight="1" s="88"/>
    <row r="877" ht="14.4" customHeight="1" s="88"/>
    <row r="878" ht="14.4" customHeight="1" s="88"/>
    <row r="879" ht="14.4" customHeight="1" s="88"/>
    <row r="880" ht="14.4" customHeight="1" s="88"/>
    <row r="881" ht="14.4" customHeight="1" s="88"/>
    <row r="882" ht="14.4" customHeight="1" s="88"/>
    <row r="883" ht="14.4" customHeight="1" s="88"/>
    <row r="884" ht="14.4" customHeight="1" s="88"/>
    <row r="885" ht="14.4" customHeight="1" s="88"/>
    <row r="886" ht="14.4" customHeight="1" s="88"/>
    <row r="887" ht="14.4" customHeight="1" s="88"/>
    <row r="888" ht="14.4" customHeight="1" s="88"/>
    <row r="889" ht="14.4" customHeight="1" s="88"/>
    <row r="890" ht="14.4" customHeight="1" s="88"/>
    <row r="891" ht="14.4" customHeight="1" s="88"/>
    <row r="892" ht="14.4" customHeight="1" s="88"/>
    <row r="893" ht="14.4" customHeight="1" s="88"/>
    <row r="894" ht="14.4" customHeight="1" s="88"/>
    <row r="895" ht="14.4" customHeight="1" s="88"/>
    <row r="896" ht="14.4" customHeight="1" s="88"/>
    <row r="897" ht="14.4" customHeight="1" s="88"/>
    <row r="898" ht="14.4" customHeight="1" s="88"/>
    <row r="899" ht="14.4" customHeight="1" s="88"/>
    <row r="900" ht="14.4" customHeight="1" s="88"/>
    <row r="901" ht="14.4" customHeight="1" s="88"/>
    <row r="902" ht="14.4" customHeight="1" s="88"/>
    <row r="903" ht="14.4" customHeight="1" s="88"/>
    <row r="904" ht="14.4" customHeight="1" s="88"/>
    <row r="905" ht="14.4" customHeight="1" s="88"/>
    <row r="906" ht="14.4" customHeight="1" s="88"/>
    <row r="907" ht="14.4" customHeight="1" s="88"/>
    <row r="908" ht="14.4" customHeight="1" s="88"/>
    <row r="909" ht="14.4" customHeight="1" s="88"/>
    <row r="910" ht="14.4" customHeight="1" s="88"/>
    <row r="911" ht="14.4" customHeight="1" s="88"/>
    <row r="912" ht="14.4" customHeight="1" s="88"/>
    <row r="913" ht="14.4" customHeight="1" s="88"/>
    <row r="914" ht="14.4" customHeight="1" s="88"/>
    <row r="915" ht="14.4" customHeight="1" s="88"/>
    <row r="916" ht="14.4" customHeight="1" s="88"/>
    <row r="917" ht="14.4" customHeight="1" s="88"/>
    <row r="918" ht="14.4" customHeight="1" s="88"/>
    <row r="919" ht="14.4" customHeight="1" s="88"/>
    <row r="920" ht="14.4" customHeight="1" s="88"/>
    <row r="921" ht="14.4" customHeight="1" s="88"/>
    <row r="922" ht="14.4" customHeight="1" s="88"/>
    <row r="923" ht="14.4" customHeight="1" s="88"/>
    <row r="924" ht="14.4" customHeight="1" s="88"/>
    <row r="925" ht="14.4" customHeight="1" s="88"/>
    <row r="926" ht="14.4" customHeight="1" s="88"/>
    <row r="927" ht="14.4" customHeight="1" s="88"/>
    <row r="928" ht="14.4" customHeight="1" s="88"/>
    <row r="929" ht="14.4" customHeight="1" s="88"/>
    <row r="930" ht="14.4" customHeight="1" s="88"/>
    <row r="931" ht="14.4" customHeight="1" s="88"/>
    <row r="932" ht="14.4" customHeight="1" s="88"/>
    <row r="933" ht="14.4" customHeight="1" s="88"/>
    <row r="934" ht="14.4" customHeight="1" s="88"/>
    <row r="935" ht="14.4" customHeight="1" s="88"/>
    <row r="936" ht="14.4" customHeight="1" s="88"/>
    <row r="937" ht="14.4" customHeight="1" s="88"/>
    <row r="938" ht="14.4" customHeight="1" s="88"/>
    <row r="939" ht="14.4" customHeight="1" s="88"/>
    <row r="940" ht="14.4" customHeight="1" s="88"/>
    <row r="941" ht="14.4" customHeight="1" s="88"/>
    <row r="942" ht="14.4" customHeight="1" s="88"/>
    <row r="943" ht="14.4" customHeight="1" s="88"/>
    <row r="944" ht="14.4" customHeight="1" s="88"/>
    <row r="945" ht="14.4" customHeight="1" s="88"/>
    <row r="946" ht="14.4" customHeight="1" s="88"/>
    <row r="947" ht="14.4" customHeight="1" s="88"/>
    <row r="948" ht="14.4" customHeight="1" s="88"/>
    <row r="949" ht="14.4" customHeight="1" s="88"/>
    <row r="950" ht="14.4" customHeight="1" s="88"/>
    <row r="951" ht="14.4" customHeight="1" s="88"/>
    <row r="952" ht="14.4" customHeight="1" s="88"/>
    <row r="953" ht="14.4" customHeight="1" s="88"/>
    <row r="954" ht="14.4" customHeight="1" s="88"/>
    <row r="955" ht="14.4" customHeight="1" s="88"/>
    <row r="956" ht="14.4" customHeight="1" s="88"/>
    <row r="957" ht="14.4" customHeight="1" s="88"/>
    <row r="958" ht="14.4" customHeight="1" s="88"/>
    <row r="959" ht="14.4" customHeight="1" s="88"/>
    <row r="960" ht="14.4" customHeight="1" s="88"/>
    <row r="961" ht="14.4" customHeight="1" s="88"/>
    <row r="962" ht="14.4" customHeight="1" s="88"/>
    <row r="963" ht="14.4" customHeight="1" s="88"/>
    <row r="964" ht="14.4" customHeight="1" s="88"/>
    <row r="965" ht="14.4" customHeight="1" s="88"/>
    <row r="966" ht="14.4" customHeight="1" s="88"/>
    <row r="967" ht="14.4" customHeight="1" s="88"/>
    <row r="968" ht="14.4" customHeight="1" s="88"/>
    <row r="969" ht="14.4" customHeight="1" s="88"/>
    <row r="970" ht="14.4" customHeight="1" s="88"/>
    <row r="971" ht="14.4" customHeight="1" s="88"/>
    <row r="972" ht="14.4" customHeight="1" s="88"/>
    <row r="973" ht="14.4" customHeight="1" s="88"/>
    <row r="974" ht="14.4" customHeight="1" s="88"/>
    <row r="975" ht="14.4" customHeight="1" s="88"/>
    <row r="976" ht="14.4" customHeight="1" s="88"/>
    <row r="977" ht="14.4" customHeight="1" s="88"/>
    <row r="978" ht="14.4" customHeight="1" s="88"/>
    <row r="979" ht="14.4" customHeight="1" s="88"/>
    <row r="980" ht="14.4" customHeight="1" s="88"/>
    <row r="981" ht="14.4" customHeight="1" s="88"/>
    <row r="982" ht="14.4" customHeight="1" s="88"/>
    <row r="983" ht="14.4" customHeight="1" s="88"/>
    <row r="984" ht="14.4" customHeight="1" s="88"/>
    <row r="985" ht="14.4" customHeight="1" s="88"/>
    <row r="986" ht="14.4" customHeight="1" s="88"/>
    <row r="987" ht="14.4" customHeight="1" s="88"/>
    <row r="988" ht="14.4" customHeight="1" s="88"/>
    <row r="989" ht="14.4" customHeight="1" s="88"/>
    <row r="990" ht="14.4" customHeight="1" s="88"/>
    <row r="991" ht="14.4" customHeight="1" s="88"/>
    <row r="992" ht="14.4" customHeight="1" s="88"/>
    <row r="993" ht="14.4" customHeight="1" s="88"/>
    <row r="994" ht="14.4" customHeight="1" s="88"/>
    <row r="995" ht="14.4" customHeight="1" s="88"/>
    <row r="996" ht="14.4" customHeight="1" s="88"/>
    <row r="997" ht="14.4" customHeight="1" s="88"/>
    <row r="998" ht="14.4" customHeight="1" s="88"/>
    <row r="999" ht="14.4" customHeight="1" s="88"/>
    <row r="1000" ht="14.4" customHeight="1" s="88"/>
    <row r="1001" ht="14.4" customHeight="1" s="88"/>
    <row r="1002" ht="14.4" customHeight="1" s="88"/>
    <row r="1003" ht="14.4" customHeight="1" s="88"/>
    <row r="1004" ht="14.4" customHeight="1" s="88"/>
    <row r="1005" ht="14.4" customHeight="1" s="88"/>
    <row r="1006" ht="14.4" customHeight="1" s="88"/>
    <row r="1007" ht="14.4" customHeight="1" s="88"/>
    <row r="1008" ht="14.4" customHeight="1" s="88"/>
    <row r="1009" ht="14.4" customHeight="1" s="88"/>
    <row r="1010" ht="14.4" customHeight="1" s="88"/>
    <row r="1011" ht="14.4" customHeight="1" s="88"/>
    <row r="1012" ht="14.4" customHeight="1" s="88"/>
    <row r="1013" ht="14.4" customHeight="1" s="88"/>
    <row r="1014" ht="14.4" customHeight="1" s="88"/>
    <row r="1015" ht="14.4" customHeight="1" s="88"/>
    <row r="1016" ht="14.4" customHeight="1" s="88"/>
    <row r="1017" ht="14.4" customHeight="1" s="88"/>
    <row r="1018" ht="14.4" customHeight="1" s="88"/>
    <row r="1019" ht="14.4" customHeight="1" s="88"/>
    <row r="1020" ht="14.4" customHeight="1" s="88"/>
    <row r="1021" ht="14.4" customHeight="1" s="88"/>
    <row r="1022" ht="14.4" customHeight="1" s="88"/>
    <row r="1023" ht="14.4" customHeight="1" s="88"/>
    <row r="1024" ht="14.4" customHeight="1" s="88"/>
    <row r="1025" ht="14.4" customHeight="1" s="88"/>
    <row r="1026" ht="14.4" customHeight="1" s="88"/>
    <row r="1027" ht="14.4" customHeight="1" s="88"/>
    <row r="1028" ht="14.4" customHeight="1" s="88"/>
    <row r="1029" ht="14.4" customHeight="1" s="88"/>
    <row r="1030" ht="14.4" customHeight="1" s="88"/>
    <row r="1031" ht="14.4" customHeight="1" s="88"/>
    <row r="1032" ht="14.4" customHeight="1" s="88"/>
    <row r="1033" ht="14.4" customHeight="1" s="88"/>
    <row r="1034" ht="14.4" customHeight="1" s="88"/>
    <row r="1035" ht="14.4" customHeight="1" s="88"/>
    <row r="1036" ht="14.4" customHeight="1" s="88"/>
    <row r="1037" ht="14.4" customHeight="1" s="88"/>
    <row r="1038" ht="14.4" customHeight="1" s="88"/>
    <row r="1039" ht="14.4" customHeight="1" s="88"/>
    <row r="1040" ht="14.4" customHeight="1" s="88"/>
    <row r="1041" ht="14.4" customHeight="1" s="88"/>
    <row r="1042" ht="14.4" customHeight="1" s="88"/>
    <row r="1043" ht="14.4" customHeight="1" s="88"/>
    <row r="1044" ht="14.4" customHeight="1" s="88"/>
    <row r="1045" ht="14.4" customHeight="1" s="88"/>
    <row r="1046" ht="14.4" customHeight="1" s="88"/>
    <row r="1047" ht="14.4" customHeight="1" s="88"/>
    <row r="1048" ht="14.4" customHeight="1" s="88"/>
    <row r="1049" ht="14.4" customHeight="1" s="88"/>
    <row r="1050" ht="14.4" customHeight="1" s="88"/>
    <row r="1051" ht="14.4" customHeight="1" s="88"/>
    <row r="1052" ht="14.4" customHeight="1" s="88"/>
    <row r="1053" ht="14.4" customHeight="1" s="88"/>
    <row r="1054" ht="14.4" customHeight="1" s="88"/>
    <row r="1055" ht="14.4" customHeight="1" s="88"/>
    <row r="1056" ht="14.4" customHeight="1" s="88"/>
    <row r="1057" ht="14.4" customHeight="1" s="88"/>
    <row r="1058" ht="14.4" customHeight="1" s="88"/>
    <row r="1059" ht="14.4" customHeight="1" s="88"/>
    <row r="1060" ht="14.4" customHeight="1" s="88"/>
    <row r="1061" ht="14.4" customHeight="1" s="88"/>
    <row r="1062" ht="14.4" customHeight="1" s="88"/>
    <row r="1063" ht="14.4" customHeight="1" s="88"/>
    <row r="1064" ht="14.4" customHeight="1" s="88"/>
    <row r="1065" ht="14.4" customHeight="1" s="88"/>
    <row r="1066" ht="14.4" customHeight="1" s="88"/>
    <row r="1067" ht="14.4" customHeight="1" s="88"/>
    <row r="1068" ht="14.4" customHeight="1" s="88"/>
    <row r="1069" ht="14.4" customHeight="1" s="88"/>
    <row r="1070" ht="14.4" customHeight="1" s="88"/>
    <row r="1071" ht="14.4" customHeight="1" s="88"/>
    <row r="1072" ht="14.4" customHeight="1" s="88"/>
    <row r="1073" ht="14.4" customHeight="1" s="88"/>
    <row r="1074" ht="14.4" customHeight="1" s="88"/>
    <row r="1075" ht="14.4" customHeight="1" s="88"/>
    <row r="1076" ht="14.4" customHeight="1" s="88"/>
    <row r="1077" ht="14.4" customHeight="1" s="88"/>
    <row r="1078" ht="14.4" customHeight="1" s="88"/>
    <row r="1079" ht="14.4" customHeight="1" s="88"/>
    <row r="1080" ht="14.4" customHeight="1" s="88"/>
    <row r="1081" ht="14.4" customHeight="1" s="88"/>
    <row r="1082" ht="14.4" customHeight="1" s="88"/>
    <row r="1083" ht="14.4" customHeight="1" s="88"/>
    <row r="1084" ht="14.4" customHeight="1" s="88"/>
    <row r="1085" ht="14.4" customHeight="1" s="88"/>
    <row r="1086" ht="14.4" customHeight="1" s="88"/>
    <row r="1087" ht="14.4" customHeight="1" s="88"/>
    <row r="1088" ht="14.4" customHeight="1" s="88"/>
    <row r="1089" ht="14.4" customHeight="1" s="88"/>
    <row r="1090" ht="14.4" customHeight="1" s="88"/>
    <row r="1091" ht="14.4" customHeight="1" s="88"/>
    <row r="1092" ht="14.4" customHeight="1" s="88"/>
    <row r="1093" ht="14.4" customHeight="1" s="88"/>
    <row r="1094" ht="14.4" customHeight="1" s="88"/>
    <row r="1095" ht="14.4" customHeight="1" s="88"/>
    <row r="1096" ht="14.4" customHeight="1" s="88"/>
    <row r="1097" ht="14.4" customHeight="1" s="88"/>
    <row r="1098" ht="14.4" customHeight="1" s="88"/>
    <row r="1099" ht="14.4" customHeight="1" s="88"/>
    <row r="1100" ht="14.4" customHeight="1" s="88"/>
    <row r="1101" ht="14.4" customHeight="1" s="88"/>
    <row r="1102" ht="14.4" customHeight="1" s="88"/>
    <row r="1103" ht="14.4" customHeight="1" s="88"/>
    <row r="1104" ht="14.4" customHeight="1" s="88"/>
    <row r="1105" ht="14.4" customHeight="1" s="88"/>
    <row r="1106" ht="14.4" customHeight="1" s="88"/>
    <row r="1107" ht="14.4" customHeight="1" s="88"/>
    <row r="1108" ht="14.4" customHeight="1" s="88"/>
    <row r="1109" ht="14.4" customHeight="1" s="88"/>
    <row r="1110" ht="14.4" customHeight="1" s="88"/>
    <row r="1111" ht="14.4" customHeight="1" s="88"/>
    <row r="1112" ht="14.4" customHeight="1" s="88"/>
    <row r="1113" ht="14.4" customHeight="1" s="88"/>
    <row r="1114" ht="14.4" customHeight="1" s="88"/>
    <row r="1115" ht="14.4" customHeight="1" s="88"/>
    <row r="1116" ht="14.4" customHeight="1" s="88"/>
    <row r="1117" ht="14.4" customHeight="1" s="88"/>
    <row r="1118" ht="14.4" customHeight="1" s="88"/>
    <row r="1119" ht="14.4" customHeight="1" s="88"/>
    <row r="1120" ht="14.4" customHeight="1" s="88"/>
    <row r="1121" ht="14.4" customHeight="1" s="88"/>
    <row r="1122" ht="14.4" customHeight="1" s="88"/>
    <row r="1123" ht="14.4" customHeight="1" s="88"/>
    <row r="1124" ht="14.4" customHeight="1" s="88"/>
    <row r="1125" ht="14.4" customHeight="1" s="88"/>
    <row r="1126" ht="14.4" customHeight="1" s="88"/>
    <row r="1127" ht="14.4" customHeight="1" s="88"/>
    <row r="1128" ht="14.4" customHeight="1" s="88"/>
    <row r="1129" ht="14.4" customHeight="1" s="88"/>
    <row r="1130" ht="14.4" customHeight="1" s="88"/>
    <row r="1131" ht="14.4" customHeight="1" s="88"/>
    <row r="1132" ht="14.4" customHeight="1" s="88"/>
    <row r="1133" ht="14.4" customHeight="1" s="88"/>
    <row r="1134" ht="14.4" customHeight="1" s="88"/>
    <row r="1135" ht="14.4" customHeight="1" s="88"/>
    <row r="1136" ht="14.4" customHeight="1" s="88"/>
    <row r="1137" ht="14.4" customHeight="1" s="88"/>
    <row r="1138" ht="14.4" customHeight="1" s="88"/>
    <row r="1139" ht="14.4" customHeight="1" s="88"/>
    <row r="1140" ht="14.4" customHeight="1" s="88"/>
    <row r="1141" ht="14.4" customHeight="1" s="88"/>
    <row r="1142" ht="14.4" customHeight="1" s="88"/>
    <row r="1143" ht="14.4" customHeight="1" s="88"/>
    <row r="1144" ht="14.4" customHeight="1" s="88"/>
    <row r="1145" ht="14.4" customHeight="1" s="88"/>
    <row r="1146" ht="14.4" customHeight="1" s="88"/>
    <row r="1147" ht="14.4" customHeight="1" s="88"/>
    <row r="1148" ht="14.4" customHeight="1" s="88"/>
    <row r="1149" ht="14.4" customHeight="1" s="88"/>
    <row r="1150" ht="14.4" customHeight="1" s="88"/>
    <row r="1151" ht="14.4" customHeight="1" s="88"/>
    <row r="1152" ht="14.4" customHeight="1" s="88"/>
    <row r="1153" ht="14.4" customHeight="1" s="88"/>
    <row r="1154" ht="14.4" customHeight="1" s="88"/>
    <row r="1155" ht="14.4" customHeight="1" s="88"/>
    <row r="1156" ht="14.4" customHeight="1" s="88"/>
    <row r="1157" ht="14.4" customHeight="1" s="88"/>
    <row r="1158" ht="14.4" customHeight="1" s="88"/>
    <row r="1159" ht="14.4" customHeight="1" s="88"/>
    <row r="1160" ht="14.4" customHeight="1" s="88"/>
    <row r="1161" ht="14.4" customHeight="1" s="88"/>
    <row r="1162" ht="14.4" customHeight="1" s="88"/>
    <row r="1163" ht="14.4" customHeight="1" s="88"/>
    <row r="1164" ht="14.4" customHeight="1" s="88"/>
    <row r="1165" ht="14.4" customHeight="1" s="88"/>
    <row r="1166" ht="14.4" customHeight="1" s="88"/>
    <row r="1167" ht="14.4" customHeight="1" s="88"/>
    <row r="1168" ht="14.4" customHeight="1" s="88"/>
    <row r="1169" ht="14.4" customHeight="1" s="88"/>
    <row r="1170" ht="14.4" customHeight="1" s="88"/>
    <row r="1171" ht="14.4" customHeight="1" s="88"/>
    <row r="1172" ht="14.4" customHeight="1" s="88"/>
    <row r="1173" ht="14.4" customHeight="1" s="88"/>
    <row r="1174" ht="14.4" customHeight="1" s="88"/>
    <row r="1175" ht="14.4" customHeight="1" s="88"/>
    <row r="1176" ht="14.4" customHeight="1" s="88"/>
    <row r="1177" ht="14.4" customHeight="1" s="88"/>
    <row r="1178" ht="14.4" customHeight="1" s="88"/>
    <row r="1179" ht="14.4" customHeight="1" s="88"/>
    <row r="1180" ht="14.4" customHeight="1" s="88"/>
    <row r="1181" ht="14.4" customHeight="1" s="88"/>
    <row r="1182" ht="14.4" customHeight="1" s="88"/>
    <row r="1183" ht="14.4" customHeight="1" s="88"/>
    <row r="1184" ht="14.4" customHeight="1" s="88"/>
    <row r="1185" ht="14.4" customHeight="1" s="88"/>
    <row r="1186" ht="14.4" customHeight="1" s="88"/>
    <row r="1187" ht="14.4" customHeight="1" s="88"/>
    <row r="1188" ht="14.4" customHeight="1" s="88"/>
    <row r="1189" ht="14.4" customHeight="1" s="88"/>
    <row r="1190" ht="14.4" customHeight="1" s="88"/>
    <row r="1191" ht="14.4" customHeight="1" s="88"/>
    <row r="1192" ht="14.4" customHeight="1" s="88"/>
    <row r="1193" ht="14.4" customHeight="1" s="88"/>
    <row r="1194" ht="14.4" customHeight="1" s="88"/>
    <row r="1195" ht="14.4" customHeight="1" s="88"/>
    <row r="1196" ht="14.4" customHeight="1" s="88"/>
    <row r="1197" ht="14.4" customHeight="1" s="88"/>
    <row r="1198" ht="14.4" customHeight="1" s="88"/>
    <row r="1199" ht="14.4" customHeight="1" s="88"/>
    <row r="1200" ht="14.4" customHeight="1" s="88"/>
    <row r="1201" ht="14.4" customHeight="1" s="88"/>
    <row r="1202" ht="14.4" customHeight="1" s="88"/>
    <row r="1203" ht="14.4" customHeight="1" s="88"/>
    <row r="1204" ht="14.4" customHeight="1" s="88"/>
    <row r="1205" ht="14.4" customHeight="1" s="88"/>
    <row r="1206" ht="14.4" customHeight="1" s="88"/>
    <row r="1207" ht="14.4" customHeight="1" s="88"/>
    <row r="1208" ht="14.4" customHeight="1" s="88"/>
    <row r="1209" ht="14.4" customHeight="1" s="88"/>
    <row r="1210" ht="14.4" customHeight="1" s="88"/>
    <row r="1211" ht="14.4" customHeight="1" s="88"/>
    <row r="1212" ht="14.4" customHeight="1" s="88"/>
    <row r="1213" ht="14.4" customHeight="1" s="88"/>
    <row r="1214" ht="14.4" customHeight="1" s="88"/>
    <row r="1215" ht="14.4" customHeight="1" s="88"/>
    <row r="1216" ht="14.4" customHeight="1" s="88"/>
    <row r="1217" ht="14.4" customHeight="1" s="88"/>
    <row r="1218" ht="14.4" customHeight="1" s="88"/>
    <row r="1219" ht="14.4" customHeight="1" s="88"/>
    <row r="1220" ht="14.4" customHeight="1" s="88"/>
    <row r="1221" ht="14.4" customHeight="1" s="88"/>
    <row r="1222" ht="14.4" customHeight="1" s="88"/>
    <row r="1223" ht="14.4" customHeight="1" s="88"/>
    <row r="1224" ht="14.4" customHeight="1" s="88"/>
    <row r="1225" ht="14.4" customHeight="1" s="88"/>
    <row r="1226" ht="14.4" customHeight="1" s="88"/>
    <row r="1227" ht="14.4" customHeight="1" s="88"/>
    <row r="1228" ht="14.4" customHeight="1" s="88"/>
    <row r="1229" ht="14.4" customHeight="1" s="88"/>
    <row r="1230" ht="14.4" customHeight="1" s="88"/>
    <row r="1231" ht="14.4" customHeight="1" s="88"/>
    <row r="1232" ht="14.4" customHeight="1" s="88"/>
    <row r="1233" ht="14.4" customHeight="1" s="88"/>
    <row r="1234" ht="14.4" customHeight="1" s="88"/>
    <row r="1235" ht="14.4" customHeight="1" s="88"/>
    <row r="1236" ht="14.4" customHeight="1" s="88"/>
    <row r="1237" ht="14.4" customHeight="1" s="88"/>
    <row r="1238" ht="14.4" customHeight="1" s="88"/>
    <row r="1239" ht="14.4" customHeight="1" s="88"/>
    <row r="1240" ht="14.4" customHeight="1" s="88"/>
    <row r="1241" ht="14.4" customHeight="1" s="88"/>
    <row r="1242" ht="14.4" customHeight="1" s="88"/>
    <row r="1243" ht="14.4" customHeight="1" s="88"/>
    <row r="1244" ht="14.4" customHeight="1" s="88"/>
    <row r="1245" ht="14.4" customHeight="1" s="88"/>
    <row r="1246" ht="14.4" customHeight="1" s="88"/>
    <row r="1247" ht="14.4" customHeight="1" s="88"/>
    <row r="1248" ht="14.4" customHeight="1" s="88"/>
    <row r="1249" ht="14.4" customHeight="1" s="88"/>
    <row r="1250" ht="14.4" customHeight="1" s="88"/>
    <row r="1251" ht="14.4" customHeight="1" s="88"/>
    <row r="1252" ht="14.4" customHeight="1" s="88"/>
    <row r="1253" ht="14.4" customHeight="1" s="88"/>
    <row r="1254" ht="14.4" customHeight="1" s="88"/>
    <row r="1255" ht="14.4" customHeight="1" s="88"/>
    <row r="1256" ht="14.4" customHeight="1" s="88"/>
    <row r="1257" ht="14.4" customHeight="1" s="88"/>
    <row r="1258" ht="14.4" customHeight="1" s="88"/>
    <row r="1259" ht="14.4" customHeight="1" s="88"/>
    <row r="1260" ht="14.4" customHeight="1" s="88"/>
    <row r="1261" ht="14.4" customHeight="1" s="88"/>
    <row r="1262" ht="14.4" customHeight="1" s="88"/>
    <row r="1263" ht="14.4" customHeight="1" s="88"/>
    <row r="1264" ht="14.4" customHeight="1" s="88"/>
    <row r="1265" ht="14.4" customHeight="1" s="88"/>
    <row r="1266" ht="14.4" customHeight="1" s="88"/>
    <row r="1267" ht="14.4" customHeight="1" s="88"/>
    <row r="1268" ht="14.4" customHeight="1" s="88"/>
    <row r="1269" ht="14.4" customHeight="1" s="88"/>
    <row r="1270" ht="14.4" customHeight="1" s="88"/>
    <row r="1271" ht="14.4" customHeight="1" s="88"/>
    <row r="1272" ht="14.4" customHeight="1" s="88"/>
    <row r="1273" ht="14.4" customHeight="1" s="88"/>
    <row r="1274" ht="14.4" customHeight="1" s="88"/>
    <row r="1275" ht="14.4" customHeight="1" s="88"/>
    <row r="1276" ht="14.4" customHeight="1" s="88"/>
    <row r="1277" ht="14.4" customHeight="1" s="88"/>
    <row r="1278" ht="14.4" customHeight="1" s="88"/>
    <row r="1279" ht="14.4" customHeight="1" s="88"/>
    <row r="1280" ht="14.4" customHeight="1" s="88"/>
    <row r="1281" ht="14.4" customHeight="1" s="88"/>
    <row r="1282" ht="14.4" customHeight="1" s="88"/>
    <row r="1283" ht="14.4" customHeight="1" s="88"/>
    <row r="1284" ht="14.4" customHeight="1" s="88"/>
    <row r="1285" ht="14.4" customHeight="1" s="88"/>
    <row r="1286" ht="14.4" customHeight="1" s="88"/>
    <row r="1287" ht="14.4" customHeight="1" s="88"/>
    <row r="1288" ht="14.4" customHeight="1" s="88"/>
    <row r="1289" ht="14.4" customHeight="1" s="88"/>
    <row r="1290" ht="14.4" customHeight="1" s="88"/>
    <row r="1291" ht="14.4" customHeight="1" s="88"/>
    <row r="1292" ht="14.4" customHeight="1" s="88"/>
    <row r="1293" ht="14.4" customHeight="1" s="88"/>
    <row r="1294" ht="14.4" customHeight="1" s="88"/>
    <row r="1295" ht="14.4" customHeight="1" s="88"/>
    <row r="1296" ht="14.4" customHeight="1" s="88"/>
    <row r="1297" ht="14.4" customHeight="1" s="88"/>
    <row r="1298" ht="14.4" customHeight="1" s="88"/>
    <row r="1299" ht="14.4" customHeight="1" s="88"/>
    <row r="1300" ht="14.4" customHeight="1" s="88"/>
    <row r="1301" ht="14.4" customHeight="1" s="88"/>
    <row r="1302" ht="14.4" customHeight="1" s="88"/>
    <row r="1303" ht="14.4" customHeight="1" s="88"/>
    <row r="1304" ht="14.4" customHeight="1" s="88"/>
    <row r="1305" ht="14.4" customHeight="1" s="88"/>
    <row r="1306" ht="14.4" customHeight="1" s="88"/>
    <row r="1307" ht="14.4" customHeight="1" s="88"/>
    <row r="1308" ht="14.4" customHeight="1" s="88"/>
    <row r="1309" ht="14.4" customHeight="1" s="88"/>
    <row r="1310" ht="14.4" customHeight="1" s="88"/>
    <row r="1311" ht="14.4" customHeight="1" s="88"/>
    <row r="1312" ht="14.4" customHeight="1" s="88"/>
    <row r="1313" ht="14.4" customHeight="1" s="88"/>
    <row r="1314" ht="14.4" customHeight="1" s="88"/>
    <row r="1315" ht="14.4" customHeight="1" s="88"/>
    <row r="1316" ht="14.4" customHeight="1" s="88"/>
    <row r="1317" ht="14.4" customHeight="1" s="88"/>
    <row r="1318" ht="14.4" customHeight="1" s="88"/>
    <row r="1319" ht="14.4" customHeight="1" s="88"/>
    <row r="1320" ht="14.4" customHeight="1" s="88"/>
    <row r="1321" ht="14.4" customHeight="1" s="88"/>
    <row r="1322" ht="14.4" customHeight="1" s="88"/>
    <row r="1323" ht="14.4" customHeight="1" s="88"/>
    <row r="1324" ht="14.4" customHeight="1" s="88"/>
    <row r="1325" ht="14.4" customHeight="1" s="88"/>
    <row r="1326" ht="14.4" customHeight="1" s="88"/>
    <row r="1327" ht="14.4" customHeight="1" s="88"/>
    <row r="1328" ht="14.4" customHeight="1" s="88"/>
    <row r="1329" ht="14.4" customHeight="1" s="88"/>
    <row r="1330" ht="14.4" customHeight="1" s="88"/>
    <row r="1331" ht="14.4" customHeight="1" s="88"/>
    <row r="1332" ht="14.4" customHeight="1" s="88"/>
    <row r="1333" ht="14.4" customHeight="1" s="88"/>
    <row r="1334" ht="14.4" customHeight="1" s="88"/>
    <row r="1335" ht="14.4" customHeight="1" s="88"/>
    <row r="1336" ht="14.4" customHeight="1" s="88"/>
    <row r="1337" ht="14.4" customHeight="1" s="88"/>
    <row r="1338" ht="14.4" customHeight="1" s="88"/>
    <row r="1339" ht="14.4" customHeight="1" s="88"/>
    <row r="1340" ht="14.4" customHeight="1" s="88"/>
    <row r="1341" ht="14.4" customHeight="1" s="88"/>
    <row r="1342" ht="14.4" customHeight="1" s="88"/>
    <row r="1343" ht="14.4" customHeight="1" s="88"/>
    <row r="1344" ht="14.4" customHeight="1" s="88"/>
    <row r="1345" ht="14.4" customHeight="1" s="88"/>
    <row r="1346" ht="14.4" customHeight="1" s="88"/>
    <row r="1347" ht="14.4" customHeight="1" s="88"/>
    <row r="1348" ht="14.4" customHeight="1" s="88"/>
    <row r="1349" ht="14.4" customHeight="1" s="88"/>
    <row r="1350" ht="14.4" customHeight="1" s="88"/>
    <row r="1351" ht="14.4" customHeight="1" s="88"/>
    <row r="1352" ht="14.4" customHeight="1" s="88"/>
    <row r="1353" ht="14.4" customHeight="1" s="88"/>
    <row r="1354" ht="14.4" customHeight="1" s="88"/>
    <row r="1355" ht="14.4" customHeight="1" s="88"/>
    <row r="1356" ht="14.4" customHeight="1" s="88"/>
    <row r="1357" ht="14.4" customHeight="1" s="88"/>
    <row r="1358" ht="14.4" customHeight="1" s="88"/>
    <row r="1359" ht="14.4" customHeight="1" s="88"/>
    <row r="1360" ht="14.4" customHeight="1" s="88"/>
    <row r="1361" ht="14.4" customHeight="1" s="88"/>
    <row r="1362" ht="14.4" customHeight="1" s="88"/>
    <row r="1363" ht="14.4" customHeight="1" s="88"/>
    <row r="1364" ht="14.4" customHeight="1" s="88"/>
    <row r="1365" ht="14.4" customHeight="1" s="88"/>
    <row r="1366" ht="14.4" customHeight="1" s="88"/>
    <row r="1367" ht="14.4" customHeight="1" s="88"/>
    <row r="1368" ht="14.4" customHeight="1" s="88"/>
    <row r="1369" ht="14.4" customHeight="1" s="88"/>
    <row r="1370" ht="14.4" customHeight="1" s="88"/>
    <row r="1371" ht="14.4" customHeight="1" s="88"/>
    <row r="1372" ht="14.4" customHeight="1" s="88"/>
    <row r="1373" ht="14.4" customHeight="1" s="88"/>
    <row r="1374" ht="14.4" customHeight="1" s="88"/>
    <row r="1375" ht="14.4" customHeight="1" s="88"/>
    <row r="1376" ht="14.4" customHeight="1" s="88"/>
    <row r="1377" ht="14.4" customHeight="1" s="88"/>
    <row r="1378" ht="14.4" customHeight="1" s="88"/>
    <row r="1379" ht="14.4" customHeight="1" s="88"/>
    <row r="1380" ht="14.4" customHeight="1" s="88"/>
    <row r="1381" ht="14.4" customHeight="1" s="88"/>
    <row r="1382" ht="14.4" customHeight="1" s="88"/>
    <row r="1383" ht="14.4" customHeight="1" s="88"/>
    <row r="1384" ht="14.4" customHeight="1" s="88"/>
    <row r="1385" ht="14.4" customHeight="1" s="88"/>
    <row r="1386" ht="14.4" customHeight="1" s="88"/>
    <row r="1387" ht="14.4" customHeight="1" s="88"/>
    <row r="1388" ht="14.4" customHeight="1" s="88"/>
    <row r="1389" ht="14.4" customHeight="1" s="88"/>
    <row r="1390" ht="14.4" customHeight="1" s="88"/>
    <row r="1391" ht="14.4" customHeight="1" s="88"/>
    <row r="1392" ht="14.4" customHeight="1" s="88"/>
    <row r="1393" ht="14.4" customHeight="1" s="88"/>
    <row r="1394" ht="14.4" customHeight="1" s="88"/>
    <row r="1395" ht="14.4" customHeight="1" s="88"/>
    <row r="1396" ht="14.4" customHeight="1" s="88"/>
    <row r="1397" ht="14.4" customHeight="1" s="88"/>
    <row r="1398" ht="14.4" customHeight="1" s="88"/>
    <row r="1399" ht="14.4" customHeight="1" s="88"/>
    <row r="1400" ht="14.4" customHeight="1" s="88"/>
    <row r="1401" ht="14.4" customHeight="1" s="88"/>
    <row r="1402" ht="14.4" customHeight="1" s="88"/>
    <row r="1403" ht="14.4" customHeight="1" s="88"/>
    <row r="1404" ht="14.4" customHeight="1" s="88"/>
    <row r="1405" ht="14.4" customHeight="1" s="88"/>
    <row r="1406" ht="14.4" customHeight="1" s="88"/>
    <row r="1407" ht="14.4" customHeight="1" s="88"/>
    <row r="1408" ht="14.4" customHeight="1" s="88"/>
    <row r="1409" ht="14.4" customHeight="1" s="88"/>
    <row r="1410" ht="14.4" customHeight="1" s="88"/>
    <row r="1411" ht="14.4" customHeight="1" s="88"/>
    <row r="1412" ht="14.4" customHeight="1" s="88"/>
    <row r="1413" ht="14.4" customHeight="1" s="88"/>
    <row r="1414" ht="14.4" customHeight="1" s="88"/>
    <row r="1415" ht="14.4" customHeight="1" s="88"/>
    <row r="1416" ht="14.4" customHeight="1" s="88"/>
    <row r="1417" ht="14.4" customHeight="1" s="88"/>
    <row r="1418" ht="14.4" customHeight="1" s="88"/>
    <row r="1419" ht="14.4" customHeight="1" s="88"/>
    <row r="1420" ht="14.4" customHeight="1" s="88"/>
    <row r="1421" ht="14.4" customHeight="1" s="88"/>
    <row r="1422" ht="14.4" customHeight="1" s="88"/>
    <row r="1423" ht="14.4" customHeight="1" s="88"/>
    <row r="1424" ht="14.4" customHeight="1" s="88"/>
    <row r="1425" ht="14.4" customHeight="1" s="88"/>
    <row r="1426" ht="14.4" customHeight="1" s="88"/>
    <row r="1427" ht="14.4" customHeight="1" s="88"/>
    <row r="1428" ht="14.4" customHeight="1" s="88"/>
    <row r="1429" ht="14.4" customHeight="1" s="88"/>
    <row r="1430" ht="14.4" customHeight="1" s="88"/>
    <row r="1431" ht="14.4" customHeight="1" s="88"/>
    <row r="1432" ht="14.4" customHeight="1" s="88"/>
    <row r="1433" ht="14.4" customHeight="1" s="88"/>
    <row r="1434" ht="14.4" customHeight="1" s="88"/>
    <row r="1435" ht="14.4" customHeight="1" s="88"/>
    <row r="1436" ht="14.4" customHeight="1" s="88"/>
    <row r="1437" ht="14.4" customHeight="1" s="88"/>
    <row r="1438" ht="14.4" customHeight="1" s="88"/>
    <row r="1439" ht="14.4" customHeight="1" s="88"/>
    <row r="1440" ht="14.4" customHeight="1" s="88"/>
    <row r="1441" ht="14.4" customHeight="1" s="88"/>
    <row r="1442" ht="14.4" customHeight="1" s="88"/>
    <row r="1443" ht="14.4" customHeight="1" s="88"/>
    <row r="1444" ht="14.4" customHeight="1" s="88"/>
    <row r="1445" ht="14.4" customHeight="1" s="88"/>
    <row r="1446" ht="14.4" customHeight="1" s="88"/>
    <row r="1447" ht="14.4" customHeight="1" s="88"/>
    <row r="1448" ht="14.4" customHeight="1" s="88"/>
    <row r="1449" ht="14.4" customHeight="1" s="88"/>
    <row r="1450" ht="14.4" customHeight="1" s="88"/>
    <row r="1451" ht="14.4" customHeight="1" s="88"/>
    <row r="1452" ht="14.4" customHeight="1" s="88"/>
    <row r="1453" ht="14.4" customHeight="1" s="88"/>
    <row r="1454" ht="14.4" customHeight="1" s="88"/>
    <row r="1455" ht="14.4" customHeight="1" s="88"/>
    <row r="1456" ht="14.4" customHeight="1" s="88"/>
    <row r="1457" ht="14.4" customHeight="1" s="88"/>
    <row r="1458" ht="14.4" customHeight="1" s="88"/>
    <row r="1459" ht="14.4" customHeight="1" s="88"/>
    <row r="1460" ht="14.4" customHeight="1" s="88"/>
    <row r="1461" ht="14.4" customHeight="1" s="88"/>
    <row r="1462" ht="14.4" customHeight="1" s="88"/>
    <row r="1463" ht="14.4" customHeight="1" s="88"/>
    <row r="1464" ht="14.4" customHeight="1" s="88"/>
    <row r="1465" ht="14.4" customHeight="1" s="88"/>
    <row r="1466" ht="14.4" customHeight="1" s="88"/>
    <row r="1467" ht="14.4" customHeight="1" s="88"/>
    <row r="1468" ht="14.4" customHeight="1" s="88"/>
    <row r="1469" ht="14.4" customHeight="1" s="88"/>
    <row r="1470" ht="14.4" customHeight="1" s="88"/>
    <row r="1471" ht="14.4" customHeight="1" s="88"/>
    <row r="1472" ht="14.4" customHeight="1" s="88"/>
    <row r="1473" ht="14.4" customHeight="1" s="88"/>
    <row r="1474" ht="14.4" customHeight="1" s="88"/>
    <row r="1475" ht="14.4" customHeight="1" s="88"/>
    <row r="1476" ht="14.4" customHeight="1" s="88"/>
    <row r="1477" ht="14.4" customHeight="1" s="88"/>
    <row r="1478" ht="14.4" customHeight="1" s="88"/>
    <row r="1479" ht="14.4" customHeight="1" s="88"/>
    <row r="1480" ht="14.4" customHeight="1" s="88"/>
    <row r="1481" ht="14.4" customHeight="1" s="88"/>
    <row r="1482" ht="14.4" customHeight="1" s="88"/>
    <row r="1483" ht="14.4" customHeight="1" s="88"/>
    <row r="1484" ht="14.4" customHeight="1" s="88"/>
    <row r="1485" ht="14.4" customHeight="1" s="88"/>
    <row r="1486" ht="14.4" customHeight="1" s="88"/>
    <row r="1487" ht="14.4" customHeight="1" s="88"/>
    <row r="1488" ht="14.4" customHeight="1" s="88"/>
    <row r="1489" ht="14.4" customHeight="1" s="88"/>
    <row r="1490" ht="14.4" customHeight="1" s="88"/>
    <row r="1491" ht="14.4" customHeight="1" s="88"/>
    <row r="1492" ht="14.4" customHeight="1" s="88"/>
    <row r="1493" ht="14.4" customHeight="1" s="88"/>
    <row r="1494" ht="14.4" customHeight="1" s="88"/>
    <row r="1495" ht="14.4" customHeight="1" s="88"/>
    <row r="1496" ht="14.4" customHeight="1" s="88"/>
    <row r="1497" ht="14.4" customHeight="1" s="88"/>
    <row r="1498" ht="14.4" customHeight="1" s="88"/>
    <row r="1499" ht="14.4" customHeight="1" s="88"/>
    <row r="1500" ht="14.4" customHeight="1" s="88"/>
    <row r="1501" ht="14.4" customHeight="1" s="88"/>
    <row r="1502" ht="14.4" customHeight="1" s="88"/>
    <row r="1503" ht="14.4" customHeight="1" s="88"/>
    <row r="1504" ht="14.4" customHeight="1" s="88"/>
    <row r="1505" ht="14.4" customHeight="1" s="88"/>
    <row r="1506" ht="14.4" customHeight="1" s="88"/>
    <row r="1507" ht="14.4" customHeight="1" s="88"/>
    <row r="1508" ht="14.4" customHeight="1" s="88"/>
    <row r="1509" ht="14.4" customHeight="1" s="88"/>
    <row r="1510" ht="14.4" customHeight="1" s="88"/>
    <row r="1511" ht="14.4" customHeight="1" s="88"/>
    <row r="1512" ht="14.4" customHeight="1" s="88"/>
    <row r="1513" ht="14.4" customHeight="1" s="88"/>
    <row r="1514" ht="14.4" customHeight="1" s="88"/>
    <row r="1515" ht="14.4" customHeight="1" s="88"/>
    <row r="1516" ht="14.4" customHeight="1" s="88"/>
    <row r="1517" ht="14.4" customHeight="1" s="88"/>
    <row r="1518" ht="14.4" customHeight="1" s="88"/>
    <row r="1519" ht="14.4" customHeight="1" s="88"/>
    <row r="1520" ht="14.4" customHeight="1" s="88"/>
    <row r="1521" ht="14.4" customHeight="1" s="88"/>
    <row r="1522" ht="14.4" customHeight="1" s="88"/>
    <row r="1523" ht="14.4" customHeight="1" s="88"/>
    <row r="1524" ht="14.4" customHeight="1" s="88"/>
    <row r="1525" ht="14.4" customHeight="1" s="88"/>
    <row r="1526" ht="14.4" customHeight="1" s="88"/>
    <row r="1527" ht="14.4" customHeight="1" s="88"/>
    <row r="1528" ht="14.4" customHeight="1" s="88"/>
    <row r="1529" ht="14.4" customHeight="1" s="88"/>
    <row r="1530" ht="14.4" customHeight="1" s="88"/>
    <row r="1531" ht="14.4" customHeight="1" s="88"/>
    <row r="1532" ht="14.4" customHeight="1" s="88"/>
    <row r="1533" ht="14.4" customHeight="1" s="88"/>
    <row r="1534" ht="14.4" customHeight="1" s="88"/>
    <row r="1535" ht="14.4" customHeight="1" s="88"/>
    <row r="1536" ht="14.4" customHeight="1" s="88"/>
    <row r="1537" ht="14.4" customHeight="1" s="88"/>
    <row r="1538" ht="14.4" customHeight="1" s="88"/>
    <row r="1539" ht="14.4" customHeight="1" s="88"/>
    <row r="1540" ht="14.4" customHeight="1" s="88"/>
    <row r="1541" ht="14.4" customHeight="1" s="88"/>
    <row r="1542" ht="14.4" customHeight="1" s="88"/>
    <row r="1543" ht="14.4" customHeight="1" s="88"/>
    <row r="1544" ht="14.4" customHeight="1" s="88"/>
    <row r="1545" ht="14.4" customHeight="1" s="88"/>
    <row r="1546" ht="14.4" customHeight="1" s="88"/>
    <row r="1547" ht="14.4" customHeight="1" s="88"/>
    <row r="1548" ht="14.4" customHeight="1" s="88"/>
    <row r="1549" ht="14.4" customHeight="1" s="88"/>
    <row r="1550" ht="14.4" customHeight="1" s="88"/>
    <row r="1551" ht="14.4" customHeight="1" s="88"/>
    <row r="1552" ht="14.4" customHeight="1" s="88"/>
    <row r="1553" ht="14.4" customHeight="1" s="88"/>
    <row r="1554" ht="14.4" customHeight="1" s="88"/>
    <row r="1555" ht="14.4" customHeight="1" s="88"/>
    <row r="1556" ht="14.4" customHeight="1" s="88"/>
    <row r="1557" ht="14.4" customHeight="1" s="88"/>
    <row r="1558" ht="14.4" customHeight="1" s="88"/>
    <row r="1559" ht="14.4" customHeight="1" s="88"/>
    <row r="1560" ht="14.4" customHeight="1" s="88"/>
    <row r="1561" ht="14.4" customHeight="1" s="88"/>
    <row r="1562" ht="14.4" customHeight="1" s="88"/>
    <row r="1563" ht="14.4" customHeight="1" s="88"/>
    <row r="1564" ht="14.4" customHeight="1" s="88"/>
    <row r="1565" ht="14.4" customHeight="1" s="88"/>
    <row r="1566" ht="14.4" customHeight="1" s="88"/>
    <row r="1567" ht="14.4" customHeight="1" s="88"/>
    <row r="1568" ht="14.4" customHeight="1" s="88"/>
    <row r="1569" ht="14.4" customHeight="1" s="88"/>
    <row r="1570" ht="14.4" customHeight="1" s="88"/>
    <row r="1571" ht="14.4" customHeight="1" s="88"/>
    <row r="1572" ht="14.4" customHeight="1" s="88"/>
    <row r="1573" ht="14.4" customHeight="1" s="88"/>
    <row r="1574" ht="14.4" customHeight="1" s="88"/>
    <row r="1575" ht="14.4" customHeight="1" s="88"/>
    <row r="1576" ht="14.4" customHeight="1" s="88"/>
    <row r="1577" ht="14.4" customHeight="1" s="88"/>
    <row r="1578" ht="14.4" customHeight="1" s="88"/>
    <row r="1579" ht="14.4" customHeight="1" s="88"/>
    <row r="1580" ht="14.4" customHeight="1" s="88"/>
    <row r="1581" ht="14.4" customHeight="1" s="88"/>
    <row r="1582" ht="14.4" customHeight="1" s="88"/>
    <row r="1583" ht="14.4" customHeight="1" s="88"/>
    <row r="1584" ht="14.4" customHeight="1" s="88"/>
    <row r="1585" ht="14.4" customHeight="1" s="88"/>
    <row r="1586" ht="14.4" customHeight="1" s="88"/>
    <row r="1587" ht="14.4" customHeight="1" s="88"/>
    <row r="1588" ht="14.4" customHeight="1" s="88"/>
    <row r="1589" ht="14.4" customHeight="1" s="88"/>
    <row r="1590" ht="14.4" customHeight="1" s="88"/>
    <row r="1591" ht="14.4" customHeight="1" s="88"/>
    <row r="1592" ht="14.4" customHeight="1" s="88"/>
    <row r="1593" ht="14.4" customHeight="1" s="88"/>
    <row r="1594" ht="14.4" customHeight="1" s="88"/>
    <row r="1595" ht="14.4" customHeight="1" s="88"/>
    <row r="1596" ht="14.4" customHeight="1" s="88"/>
    <row r="1597" ht="14.4" customHeight="1" s="88"/>
    <row r="1598" ht="14.4" customHeight="1" s="88"/>
    <row r="1599" ht="14.4" customHeight="1" s="88"/>
    <row r="1600" ht="14.4" customHeight="1" s="88"/>
    <row r="1601" ht="14.4" customHeight="1" s="88"/>
    <row r="1602" ht="14.4" customHeight="1" s="88"/>
    <row r="1603" ht="14.4" customHeight="1" s="88"/>
    <row r="1604" ht="14.4" customHeight="1" s="88"/>
    <row r="1605" ht="14.4" customHeight="1" s="88"/>
    <row r="1606" ht="14.4" customHeight="1" s="88"/>
    <row r="1607" ht="14.4" customHeight="1" s="88"/>
    <row r="1608" ht="14.4" customHeight="1" s="88"/>
    <row r="1609" ht="14.4" customHeight="1" s="88"/>
    <row r="1610" ht="14.4" customHeight="1" s="88"/>
    <row r="1611" ht="14.4" customHeight="1" s="88"/>
    <row r="1612" ht="14.4" customHeight="1" s="88"/>
    <row r="1613" ht="14.4" customHeight="1" s="88"/>
    <row r="1614" ht="14.4" customHeight="1" s="88"/>
    <row r="1615" ht="14.4" customHeight="1" s="88"/>
    <row r="1616" ht="14.4" customHeight="1" s="88"/>
    <row r="1617" ht="14.4" customHeight="1" s="88"/>
    <row r="1618" ht="14.4" customHeight="1" s="88"/>
    <row r="1619" ht="14.4" customHeight="1" s="88"/>
    <row r="1620" ht="14.4" customHeight="1" s="88"/>
    <row r="1621" ht="14.4" customHeight="1" s="88"/>
    <row r="1622" ht="14.4" customHeight="1" s="88"/>
    <row r="1623" ht="14.4" customHeight="1" s="88"/>
    <row r="1624" ht="14.4" customHeight="1" s="88"/>
    <row r="1625" ht="14.4" customHeight="1" s="88"/>
    <row r="1626" ht="14.4" customHeight="1" s="88"/>
    <row r="1627" ht="14.4" customHeight="1" s="88"/>
    <row r="1628" ht="14.4" customHeight="1" s="88"/>
    <row r="1629" ht="14.4" customHeight="1" s="88"/>
    <row r="1630" ht="14.4" customHeight="1" s="88"/>
    <row r="1631" ht="14.4" customHeight="1" s="88"/>
    <row r="1632" ht="14.4" customHeight="1" s="88"/>
    <row r="1633" ht="14.4" customHeight="1" s="88"/>
    <row r="1634" ht="14.4" customHeight="1" s="88"/>
    <row r="1635" ht="14.4" customHeight="1" s="88"/>
    <row r="1636" ht="14.4" customHeight="1" s="88"/>
    <row r="1637" ht="14.4" customHeight="1" s="88"/>
    <row r="1638" ht="14.4" customHeight="1" s="88"/>
    <row r="1639" ht="14.4" customHeight="1" s="88"/>
    <row r="1640" ht="14.4" customHeight="1" s="88"/>
    <row r="1641" ht="14.4" customHeight="1" s="88"/>
    <row r="1642" ht="14.4" customHeight="1" s="88"/>
    <row r="1643" ht="14.4" customHeight="1" s="88"/>
    <row r="1644" ht="14.4" customHeight="1" s="88"/>
    <row r="1645" ht="14.4" customHeight="1" s="88"/>
    <row r="1646" ht="14.4" customHeight="1" s="88"/>
    <row r="1647" ht="14.4" customHeight="1" s="88"/>
    <row r="1648" ht="14.4" customHeight="1" s="88"/>
    <row r="1649" ht="14.4" customHeight="1" s="88"/>
    <row r="1650" ht="14.4" customHeight="1" s="88"/>
    <row r="1651" ht="14.4" customHeight="1" s="88"/>
    <row r="1652" ht="14.4" customHeight="1" s="88"/>
    <row r="1653" ht="14.4" customHeight="1" s="88"/>
    <row r="1654" ht="14.4" customHeight="1" s="88"/>
    <row r="1655" ht="14.4" customHeight="1" s="88"/>
    <row r="1656" ht="14.4" customHeight="1" s="88"/>
    <row r="1657" ht="14.4" customHeight="1" s="88"/>
    <row r="1658" ht="14.4" customHeight="1" s="88"/>
    <row r="1659" ht="14.4" customHeight="1" s="88"/>
    <row r="1660" ht="14.4" customHeight="1" s="88"/>
    <row r="1661" ht="14.4" customHeight="1" s="88"/>
    <row r="1662" ht="14.4" customHeight="1" s="88"/>
    <row r="1663" ht="14.4" customHeight="1" s="88"/>
    <row r="1664" ht="14.4" customHeight="1" s="88"/>
    <row r="1665" ht="14.4" customHeight="1" s="88"/>
    <row r="1666" ht="14.4" customHeight="1" s="88"/>
    <row r="1667" ht="14.4" customHeight="1" s="88"/>
    <row r="1668" ht="14.4" customHeight="1" s="88"/>
    <row r="1669" ht="14.4" customHeight="1" s="88"/>
    <row r="1670" ht="14.4" customHeight="1" s="88"/>
    <row r="1671" ht="14.4" customHeight="1" s="88"/>
    <row r="1672" ht="14.4" customHeight="1" s="88"/>
    <row r="1673" ht="14.4" customHeight="1" s="88"/>
    <row r="1674" ht="14.4" customHeight="1" s="88"/>
    <row r="1675" ht="14.4" customHeight="1" s="88"/>
    <row r="1676" ht="14.4" customHeight="1" s="88"/>
    <row r="1677" ht="14.4" customHeight="1" s="88"/>
    <row r="1678" ht="14.4" customHeight="1" s="88"/>
    <row r="1679" ht="14.4" customHeight="1" s="88"/>
    <row r="1680" ht="14.4" customHeight="1" s="88"/>
    <row r="1681" ht="14.4" customHeight="1" s="88"/>
    <row r="1682" ht="14.4" customHeight="1" s="88"/>
    <row r="1683" ht="14.4" customHeight="1" s="88"/>
    <row r="1684" ht="14.4" customHeight="1" s="88"/>
    <row r="1685" ht="14.4" customHeight="1" s="88"/>
    <row r="1686" ht="14.4" customHeight="1" s="88"/>
    <row r="1687" ht="14.4" customHeight="1" s="88"/>
    <row r="1688" ht="14.4" customHeight="1" s="88"/>
    <row r="1689" ht="14.4" customHeight="1" s="88"/>
    <row r="1690" ht="14.4" customHeight="1" s="88"/>
    <row r="1691" ht="14.4" customHeight="1" s="88"/>
    <row r="1692" ht="14.4" customHeight="1" s="88"/>
    <row r="1693" ht="14.4" customHeight="1" s="88"/>
    <row r="1694" ht="14.4" customHeight="1" s="88"/>
    <row r="1695" ht="14.4" customHeight="1" s="88"/>
    <row r="1696" ht="14.4" customHeight="1" s="88"/>
    <row r="1697" ht="14.4" customHeight="1" s="88"/>
    <row r="1698" ht="14.4" customHeight="1" s="88"/>
    <row r="1699" ht="14.4" customHeight="1" s="88"/>
    <row r="1700" ht="14.4" customHeight="1" s="88"/>
    <row r="1701" ht="14.4" customHeight="1" s="88"/>
    <row r="1702" ht="14.4" customHeight="1" s="88"/>
    <row r="1703" ht="14.4" customHeight="1" s="88"/>
    <row r="1704" ht="14.4" customHeight="1" s="88"/>
    <row r="1705" ht="14.4" customHeight="1" s="88"/>
    <row r="1706" ht="14.4" customHeight="1" s="88"/>
    <row r="1707" ht="14.4" customHeight="1" s="88"/>
    <row r="1708" ht="14.4" customHeight="1" s="88"/>
    <row r="1709" ht="14.4" customHeight="1" s="88"/>
    <row r="1710" ht="14.4" customHeight="1" s="88"/>
    <row r="1711" ht="14.4" customHeight="1" s="88"/>
    <row r="1712" ht="14.4" customHeight="1" s="88"/>
    <row r="1713" ht="14.4" customHeight="1" s="88"/>
    <row r="1714" ht="14.4" customHeight="1" s="88"/>
    <row r="1715" ht="14.4" customHeight="1" s="88"/>
    <row r="1716" ht="14.4" customHeight="1" s="88"/>
    <row r="1717" ht="14.4" customHeight="1" s="88"/>
    <row r="1718" ht="14.4" customHeight="1" s="88"/>
    <row r="1719" ht="14.4" customHeight="1" s="88"/>
    <row r="1720" ht="14.4" customHeight="1" s="88"/>
    <row r="1721" ht="14.4" customHeight="1" s="88"/>
    <row r="1722" ht="14.4" customHeight="1" s="88"/>
    <row r="1723" ht="14.4" customHeight="1" s="88"/>
    <row r="1724" ht="14.4" customHeight="1" s="88"/>
    <row r="1725" ht="14.4" customHeight="1" s="88"/>
    <row r="1726" ht="14.4" customHeight="1" s="88"/>
    <row r="1727" ht="14.4" customHeight="1" s="88"/>
    <row r="1728" ht="14.4" customHeight="1" s="88"/>
    <row r="1729" ht="14.4" customHeight="1" s="88"/>
    <row r="1730" ht="14.4" customHeight="1" s="88"/>
    <row r="1731" ht="14.4" customHeight="1" s="88"/>
    <row r="1732" ht="14.4" customHeight="1" s="88"/>
    <row r="1733" ht="14.4" customHeight="1" s="88"/>
    <row r="1734" ht="14.4" customHeight="1" s="88"/>
    <row r="1735" ht="14.4" customHeight="1" s="88"/>
    <row r="1736" ht="14.4" customHeight="1" s="88"/>
    <row r="1737" ht="14.4" customHeight="1" s="88"/>
    <row r="1738" ht="14.4" customHeight="1" s="88"/>
    <row r="1739" ht="14.4" customHeight="1" s="88"/>
    <row r="1740" ht="14.4" customHeight="1" s="88"/>
    <row r="1741" ht="14.4" customHeight="1" s="88"/>
    <row r="1742" ht="14.4" customHeight="1" s="88"/>
    <row r="1743" ht="14.4" customHeight="1" s="88"/>
    <row r="1744" ht="14.4" customHeight="1" s="88"/>
    <row r="1745" ht="14.4" customHeight="1" s="88"/>
    <row r="1746" ht="14.4" customHeight="1" s="88"/>
    <row r="1747" ht="14.4" customHeight="1" s="88"/>
    <row r="1748" ht="14.4" customHeight="1" s="88"/>
    <row r="1749" ht="14.4" customHeight="1" s="88"/>
    <row r="1750" ht="14.4" customHeight="1" s="88"/>
    <row r="1751" ht="14.4" customHeight="1" s="88"/>
    <row r="1752" ht="14.4" customHeight="1" s="88"/>
    <row r="1753" ht="14.4" customHeight="1" s="88"/>
    <row r="1754" ht="14.4" customHeight="1" s="88"/>
    <row r="1755" ht="14.4" customHeight="1" s="88"/>
    <row r="1756" ht="14.4" customHeight="1" s="88"/>
    <row r="1757" ht="14.4" customHeight="1" s="88"/>
    <row r="1758" ht="14.4" customHeight="1" s="88"/>
    <row r="1759" ht="14.4" customHeight="1" s="88"/>
    <row r="1760" ht="14.4" customHeight="1" s="88"/>
    <row r="1761" ht="14.4" customHeight="1" s="88"/>
    <row r="1762" ht="14.4" customHeight="1" s="88"/>
    <row r="1763" ht="14.4" customHeight="1" s="88"/>
    <row r="1764" ht="14.4" customHeight="1" s="88"/>
    <row r="1765" ht="14.4" customHeight="1" s="88"/>
    <row r="1766" ht="14.4" customHeight="1" s="88"/>
    <row r="1767" ht="14.4" customHeight="1" s="88"/>
    <row r="1768" ht="14.4" customHeight="1" s="88"/>
    <row r="1769" ht="14.4" customHeight="1" s="88"/>
    <row r="1770" ht="14.4" customHeight="1" s="88"/>
    <row r="1771" ht="14.4" customHeight="1" s="88"/>
    <row r="1772" ht="14.4" customHeight="1" s="88"/>
    <row r="1773" ht="14.4" customHeight="1" s="88"/>
    <row r="1774" ht="14.4" customHeight="1" s="88"/>
    <row r="1775" ht="14.4" customHeight="1" s="88"/>
    <row r="1776" ht="14.4" customHeight="1" s="88"/>
    <row r="1777" ht="14.4" customHeight="1" s="88"/>
    <row r="1778" ht="14.4" customHeight="1" s="88"/>
    <row r="1779" ht="14.4" customHeight="1" s="88"/>
    <row r="1780" ht="14.4" customHeight="1" s="88"/>
    <row r="1781" ht="14.4" customHeight="1" s="88"/>
    <row r="1782" ht="14.4" customHeight="1" s="88"/>
    <row r="1783" ht="14.4" customHeight="1" s="88"/>
    <row r="1784" ht="14.4" customHeight="1" s="88"/>
    <row r="1785" ht="14.4" customHeight="1" s="88"/>
    <row r="1786" ht="14.4" customHeight="1" s="88"/>
    <row r="1787" ht="14.4" customHeight="1" s="88"/>
    <row r="1788" ht="14.4" customHeight="1" s="88"/>
    <row r="1789" ht="14.4" customHeight="1" s="88"/>
    <row r="1790" ht="14.4" customHeight="1" s="88"/>
    <row r="1791" ht="14.4" customHeight="1" s="88"/>
    <row r="1792" ht="14.4" customHeight="1" s="88"/>
    <row r="1793" ht="14.4" customHeight="1" s="88"/>
    <row r="1794" ht="14.4" customHeight="1" s="88"/>
    <row r="1795" ht="14.4" customHeight="1" s="88"/>
    <row r="1796" ht="14.4" customHeight="1" s="88"/>
    <row r="1797" ht="14.4" customHeight="1" s="88"/>
    <row r="1798" ht="14.4" customHeight="1" s="88"/>
    <row r="1799" ht="14.4" customHeight="1" s="88"/>
    <row r="1800" ht="14.4" customHeight="1" s="88"/>
    <row r="1801" ht="14.4" customHeight="1" s="88"/>
    <row r="1802" ht="14.4" customHeight="1" s="88"/>
    <row r="1803" ht="14.4" customHeight="1" s="88"/>
    <row r="1804" ht="14.4" customHeight="1" s="88"/>
    <row r="1805" ht="14.4" customHeight="1" s="88"/>
    <row r="1806" ht="14.4" customHeight="1" s="88"/>
    <row r="1807" ht="14.4" customHeight="1" s="88"/>
    <row r="1808" ht="14.4" customHeight="1" s="88"/>
    <row r="1809" ht="14.4" customHeight="1" s="88"/>
    <row r="1810" ht="14.4" customHeight="1" s="88"/>
    <row r="1811" ht="14.4" customHeight="1" s="88"/>
    <row r="1812" ht="14.4" customHeight="1" s="88"/>
    <row r="1813" ht="14.4" customHeight="1" s="88"/>
    <row r="1814" ht="14.4" customHeight="1" s="88"/>
    <row r="1815" ht="14.4" customHeight="1" s="88"/>
    <row r="1816" ht="14.4" customHeight="1" s="88"/>
    <row r="1817" ht="14.4" customHeight="1" s="88"/>
    <row r="1818" ht="14.4" customHeight="1" s="88"/>
    <row r="1819" ht="14.4" customHeight="1" s="88"/>
    <row r="1820" ht="14.4" customHeight="1" s="88"/>
    <row r="1821" ht="14.4" customHeight="1" s="88"/>
    <row r="1822" ht="14.4" customHeight="1" s="88"/>
    <row r="1823" ht="14.4" customHeight="1" s="88"/>
    <row r="1824" ht="14.4" customHeight="1" s="88"/>
    <row r="1825" ht="14.4" customHeight="1" s="88"/>
    <row r="1826" ht="14.4" customHeight="1" s="88"/>
    <row r="1827" ht="14.4" customHeight="1" s="88"/>
    <row r="1828" ht="14.4" customHeight="1" s="88"/>
    <row r="1829" ht="14.4" customHeight="1" s="88"/>
    <row r="1830" ht="14.4" customHeight="1" s="88"/>
    <row r="1831" ht="14.4" customHeight="1" s="88"/>
    <row r="1832" ht="14.4" customHeight="1" s="88"/>
    <row r="1833" ht="14.4" customHeight="1" s="88"/>
    <row r="1834" ht="14.4" customHeight="1" s="88"/>
    <row r="1835" ht="14.4" customHeight="1" s="88"/>
    <row r="1836" ht="14.4" customHeight="1" s="88"/>
    <row r="1837" ht="14.4" customHeight="1" s="88"/>
    <row r="1838" ht="14.4" customHeight="1" s="88"/>
    <row r="1839" ht="14.4" customHeight="1" s="88"/>
    <row r="1840" ht="14.4" customHeight="1" s="88"/>
    <row r="1841" ht="14.4" customHeight="1" s="88"/>
    <row r="1842" ht="14.4" customHeight="1" s="88"/>
    <row r="1843" ht="14.4" customHeight="1" s="88"/>
    <row r="1844" ht="14.4" customHeight="1" s="88"/>
    <row r="1845" ht="14.4" customHeight="1" s="88"/>
    <row r="1846" ht="14.4" customHeight="1" s="88"/>
    <row r="1847" ht="14.4" customHeight="1" s="88"/>
    <row r="1848" ht="14.4" customHeight="1" s="88"/>
    <row r="1849" ht="14.4" customHeight="1" s="88"/>
    <row r="1850" ht="14.4" customHeight="1" s="88"/>
    <row r="1851" ht="14.4" customHeight="1" s="88"/>
    <row r="1852" ht="14.4" customHeight="1" s="88"/>
    <row r="1853" ht="14.4" customHeight="1" s="88"/>
    <row r="1854" ht="14.4" customHeight="1" s="88"/>
    <row r="1855" ht="14.4" customHeight="1" s="88"/>
    <row r="1856" ht="14.4" customHeight="1" s="88"/>
    <row r="1857" ht="14.4" customHeight="1" s="88"/>
    <row r="1858" ht="14.4" customHeight="1" s="88"/>
    <row r="1859" ht="14.4" customHeight="1" s="88"/>
    <row r="1860" ht="14.4" customHeight="1" s="88"/>
    <row r="1861" ht="14.4" customHeight="1" s="88"/>
    <row r="1862" ht="14.4" customHeight="1" s="88"/>
    <row r="1863" ht="14.4" customHeight="1" s="88"/>
    <row r="1864" ht="14.4" customHeight="1" s="88"/>
    <row r="1865" ht="14.4" customHeight="1" s="88"/>
    <row r="1866" ht="14.4" customHeight="1" s="88"/>
    <row r="1867" ht="14.4" customHeight="1" s="88"/>
    <row r="1868" ht="14.4" customHeight="1" s="88"/>
    <row r="1869" ht="14.4" customHeight="1" s="88"/>
    <row r="1870" ht="14.4" customHeight="1" s="88"/>
    <row r="1871" ht="14.4" customHeight="1" s="88"/>
    <row r="1872" ht="14.4" customHeight="1" s="88"/>
    <row r="1873" ht="14.4" customHeight="1" s="88"/>
    <row r="1874" ht="14.4" customHeight="1" s="88"/>
    <row r="1875" ht="14.4" customHeight="1" s="88"/>
    <row r="1876" ht="14.4" customHeight="1" s="88"/>
    <row r="1877" ht="14.4" customHeight="1" s="88"/>
    <row r="1878" ht="14.4" customHeight="1" s="88"/>
    <row r="1879" ht="14.4" customHeight="1" s="88"/>
    <row r="1880" ht="14.4" customHeight="1" s="88"/>
    <row r="1881" ht="14.4" customHeight="1" s="88"/>
    <row r="1882" ht="14.4" customHeight="1" s="88"/>
    <row r="1883" ht="14.4" customHeight="1" s="88"/>
    <row r="1884" ht="14.4" customHeight="1" s="88"/>
    <row r="1885" ht="14.4" customHeight="1" s="88"/>
    <row r="1886" ht="14.4" customHeight="1" s="88"/>
    <row r="1887" ht="14.4" customHeight="1" s="88"/>
    <row r="1888" ht="14.4" customHeight="1" s="88"/>
    <row r="1889" ht="14.4" customHeight="1" s="88"/>
    <row r="1890" ht="14.4" customHeight="1" s="88"/>
    <row r="1891" ht="14.4" customHeight="1" s="88"/>
    <row r="1892" ht="14.4" customHeight="1" s="88"/>
    <row r="1893" ht="14.4" customHeight="1" s="88"/>
    <row r="1894" ht="14.4" customHeight="1" s="88"/>
    <row r="1895" ht="14.4" customHeight="1" s="88"/>
    <row r="1896" ht="14.4" customHeight="1" s="88"/>
    <row r="1897" ht="14.4" customHeight="1" s="88"/>
    <row r="1898" ht="14.4" customHeight="1" s="88"/>
    <row r="1899" ht="14.4" customHeight="1" s="88"/>
    <row r="1900" ht="14.4" customHeight="1" s="88"/>
    <row r="1901" ht="14.4" customHeight="1" s="88"/>
    <row r="1902" ht="14.4" customHeight="1" s="88"/>
    <row r="1903" ht="14.4" customHeight="1" s="88"/>
    <row r="1904" ht="14.4" customHeight="1" s="88"/>
    <row r="1905" ht="14.4" customHeight="1" s="88"/>
    <row r="1906" ht="14.4" customHeight="1" s="88"/>
    <row r="1907" ht="14.4" customHeight="1" s="88"/>
    <row r="1908" ht="14.4" customHeight="1" s="88"/>
    <row r="1909" ht="14.4" customHeight="1" s="88"/>
    <row r="1910" ht="14.4" customHeight="1" s="88"/>
    <row r="1911" ht="14.4" customHeight="1" s="88"/>
    <row r="1912" ht="14.4" customHeight="1" s="88"/>
    <row r="1913" ht="14.4" customHeight="1" s="88"/>
    <row r="1914" ht="14.4" customHeight="1" s="88"/>
    <row r="1915" ht="14.4" customHeight="1" s="88"/>
    <row r="1916" ht="14.4" customHeight="1" s="88"/>
    <row r="1917" ht="14.4" customHeight="1" s="88"/>
    <row r="1918" ht="14.4" customHeight="1" s="88"/>
    <row r="1919" ht="14.4" customHeight="1" s="88"/>
    <row r="1920" ht="14.4" customHeight="1" s="88"/>
    <row r="1921" ht="14.4" customHeight="1" s="88"/>
    <row r="1922" ht="14.4" customHeight="1" s="88"/>
    <row r="1923" ht="14.4" customHeight="1" s="88"/>
    <row r="1924" ht="14.4" customHeight="1" s="88"/>
    <row r="1925" ht="14.4" customHeight="1" s="88"/>
    <row r="1926" ht="14.4" customHeight="1" s="88"/>
    <row r="1927" ht="14.4" customHeight="1" s="88"/>
    <row r="1928" ht="14.4" customHeight="1" s="88"/>
    <row r="1929" ht="14.4" customHeight="1" s="88"/>
    <row r="1930" ht="14.4" customHeight="1" s="88"/>
    <row r="1931" ht="14.4" customHeight="1" s="88"/>
    <row r="1932" ht="14.4" customHeight="1" s="88"/>
    <row r="1933" ht="14.4" customHeight="1" s="88"/>
    <row r="1934" ht="14.4" customHeight="1" s="88"/>
    <row r="1935" ht="14.4" customHeight="1" s="88"/>
    <row r="1936" ht="14.4" customHeight="1" s="88"/>
    <row r="1937" ht="14.4" customHeight="1" s="88"/>
    <row r="1938" ht="14.4" customHeight="1" s="88"/>
    <row r="1939" ht="14.4" customHeight="1" s="88"/>
    <row r="1940" ht="14.4" customHeight="1" s="88"/>
    <row r="1941" ht="14.4" customHeight="1" s="88"/>
    <row r="1942" ht="14.4" customHeight="1" s="88"/>
    <row r="1943" ht="14.4" customHeight="1" s="88"/>
    <row r="1944" ht="14.4" customHeight="1" s="88"/>
    <row r="1945" ht="14.4" customHeight="1" s="88"/>
    <row r="1946" ht="14.4" customHeight="1" s="88"/>
    <row r="1947" ht="14.4" customHeight="1" s="88"/>
    <row r="1948" ht="14.4" customHeight="1" s="88"/>
    <row r="1949" ht="14.4" customHeight="1" s="88"/>
    <row r="1950" ht="14.4" customHeight="1" s="88"/>
    <row r="1951" ht="14.4" customHeight="1" s="88"/>
    <row r="1952" ht="14.4" customHeight="1" s="88"/>
    <row r="1953" ht="14.4" customHeight="1" s="88"/>
    <row r="1954" ht="14.4" customHeight="1" s="88"/>
    <row r="1955" ht="14.4" customHeight="1" s="88"/>
    <row r="1956" ht="14.4" customHeight="1" s="88"/>
    <row r="1957" ht="14.4" customHeight="1" s="88"/>
    <row r="1958" ht="14.4" customHeight="1" s="88"/>
    <row r="1959" ht="14.4" customHeight="1" s="88"/>
    <row r="1960" ht="14.4" customHeight="1" s="88"/>
    <row r="1961" ht="14.4" customHeight="1" s="88"/>
    <row r="1962" ht="14.4" customHeight="1" s="88"/>
    <row r="1963" ht="14.4" customHeight="1" s="88"/>
    <row r="1964" ht="14.4" customHeight="1" s="88"/>
    <row r="1965" ht="14.4" customHeight="1" s="88"/>
    <row r="1966" ht="14.4" customHeight="1" s="88"/>
    <row r="1967" ht="14.4" customHeight="1" s="88"/>
    <row r="1968" ht="14.4" customHeight="1" s="88"/>
    <row r="1969" ht="14.4" customHeight="1" s="88"/>
    <row r="1970" ht="14.4" customHeight="1" s="88"/>
    <row r="1971" ht="14.4" customHeight="1" s="88"/>
    <row r="1972" ht="14.4" customHeight="1" s="88"/>
    <row r="1973" ht="14.4" customHeight="1" s="88"/>
    <row r="1974" ht="14.4" customHeight="1" s="88"/>
    <row r="1975" ht="14.4" customHeight="1" s="88"/>
    <row r="1976" ht="14.4" customHeight="1" s="88"/>
    <row r="1977" ht="14.4" customHeight="1" s="88"/>
    <row r="1978" ht="14.4" customHeight="1" s="88"/>
    <row r="1979" ht="14.4" customHeight="1" s="88"/>
    <row r="1980" ht="14.4" customHeight="1" s="88"/>
    <row r="1981" ht="14.4" customHeight="1" s="88"/>
    <row r="1982" ht="14.4" customHeight="1" s="88"/>
    <row r="1983" ht="14.4" customHeight="1" s="88"/>
    <row r="1984" ht="14.4" customHeight="1" s="88"/>
    <row r="1985" ht="14.4" customHeight="1" s="88"/>
    <row r="1986" ht="14.4" customHeight="1" s="88"/>
    <row r="1987" ht="14.4" customHeight="1" s="88"/>
    <row r="1988" ht="14.4" customHeight="1" s="88"/>
    <row r="1989" ht="14.4" customHeight="1" s="88"/>
    <row r="1990" ht="14.4" customHeight="1" s="88"/>
    <row r="1991" ht="14.4" customHeight="1" s="88"/>
    <row r="1992" ht="14.4" customHeight="1" s="88"/>
    <row r="1993" ht="14.4" customHeight="1" s="88"/>
    <row r="1994" ht="14.4" customHeight="1" s="88"/>
    <row r="1995" ht="14.4" customHeight="1" s="88"/>
    <row r="1996" ht="14.4" customHeight="1" s="88"/>
    <row r="1997" ht="14.4" customHeight="1" s="88"/>
    <row r="1998" ht="14.4" customHeight="1" s="88"/>
    <row r="1999" ht="14.4" customHeight="1" s="88"/>
    <row r="2000" ht="14.4" customHeight="1" s="88"/>
    <row r="2001" ht="14.4" customHeight="1" s="88"/>
    <row r="2002" ht="14.4" customHeight="1" s="88"/>
    <row r="2003" ht="14.4" customHeight="1" s="88"/>
    <row r="2004" ht="14.4" customHeight="1" s="88"/>
    <row r="2005" ht="14.4" customHeight="1" s="88"/>
    <row r="2006" ht="14.4" customHeight="1" s="88"/>
    <row r="2007" ht="14.4" customHeight="1" s="88"/>
    <row r="2008" ht="14.4" customHeight="1" s="88"/>
    <row r="2009" ht="14.4" customHeight="1" s="88"/>
    <row r="2010" ht="14.4" customHeight="1" s="88"/>
    <row r="2011" ht="14.4" customHeight="1" s="88"/>
    <row r="2012" ht="14.4" customHeight="1" s="88"/>
    <row r="2013" ht="14.4" customHeight="1" s="88"/>
    <row r="2014" ht="14.4" customHeight="1" s="88"/>
    <row r="2015" ht="14.4" customHeight="1" s="88"/>
    <row r="2016" ht="14.4" customHeight="1" s="88"/>
    <row r="2017" ht="14.4" customHeight="1" s="88"/>
    <row r="2018" ht="14.4" customHeight="1" s="88"/>
    <row r="2019" ht="14.4" customHeight="1" s="88"/>
    <row r="2020" ht="14.4" customHeight="1" s="88"/>
    <row r="2021" ht="14.4" customHeight="1" s="88"/>
    <row r="2022" ht="14.4" customHeight="1" s="88"/>
    <row r="2023" ht="14.4" customHeight="1" s="88"/>
    <row r="2024" ht="14.4" customHeight="1" s="88"/>
    <row r="2025" ht="14.4" customHeight="1" s="88"/>
    <row r="2026" ht="14.4" customHeight="1" s="88"/>
    <row r="2027" ht="14.4" customHeight="1" s="88"/>
    <row r="2028" ht="14.4" customHeight="1" s="88"/>
    <row r="2029" ht="14.4" customHeight="1" s="88"/>
    <row r="2030" ht="14.4" customHeight="1" s="88"/>
    <row r="2031" ht="14.4" customHeight="1" s="88"/>
    <row r="2032" ht="14.4" customHeight="1" s="88"/>
    <row r="2033" ht="14.4" customHeight="1" s="88"/>
    <row r="2034" ht="14.4" customHeight="1" s="88"/>
    <row r="2035" ht="14.4" customHeight="1" s="88"/>
    <row r="2036" ht="14.4" customHeight="1" s="88"/>
    <row r="2037" ht="14.4" customHeight="1" s="88"/>
    <row r="2038" ht="14.4" customHeight="1" s="88"/>
    <row r="2039" ht="14.4" customHeight="1" s="88"/>
    <row r="2040" ht="14.4" customHeight="1" s="88"/>
    <row r="2041" ht="14.4" customHeight="1" s="88"/>
    <row r="2042" ht="14.4" customHeight="1" s="88"/>
    <row r="2043" ht="14.4" customHeight="1" s="88"/>
    <row r="2044" ht="14.4" customHeight="1" s="88"/>
    <row r="2045" ht="14.4" customHeight="1" s="88"/>
    <row r="2046" ht="14.4" customHeight="1" s="88"/>
    <row r="2047" ht="14.4" customHeight="1" s="88"/>
    <row r="2048" ht="14.4" customHeight="1" s="88"/>
    <row r="2049" ht="14.4" customHeight="1" s="88"/>
    <row r="2050" ht="14.4" customHeight="1" s="88"/>
    <row r="2051" ht="14.4" customHeight="1" s="88"/>
    <row r="2052" ht="14.4" customHeight="1" s="88"/>
    <row r="2053" ht="14.4" customHeight="1" s="88"/>
    <row r="2054" ht="14.4" customHeight="1" s="88"/>
    <row r="2055" ht="14.4" customHeight="1" s="88"/>
    <row r="2056" ht="14.4" customHeight="1" s="88"/>
    <row r="2057" ht="14.4" customHeight="1" s="88"/>
    <row r="2058" ht="14.4" customHeight="1" s="88"/>
    <row r="2059" ht="14.4" customHeight="1" s="88"/>
    <row r="2060" ht="14.4" customHeight="1" s="88"/>
    <row r="2061" ht="14.4" customHeight="1" s="88"/>
    <row r="2062" ht="14.4" customHeight="1" s="88"/>
    <row r="2063" ht="14.4" customHeight="1" s="88"/>
    <row r="2064" ht="14.4" customHeight="1" s="88"/>
    <row r="2065" ht="14.4" customHeight="1" s="88"/>
    <row r="2066" ht="14.4" customHeight="1" s="88"/>
    <row r="2067" ht="14.4" customHeight="1" s="88"/>
    <row r="2068" ht="14.4" customHeight="1" s="88"/>
    <row r="2069" ht="14.4" customHeight="1" s="88"/>
    <row r="2070" ht="14.4" customHeight="1" s="88"/>
    <row r="2071" ht="14.4" customHeight="1" s="88"/>
    <row r="2072" ht="14.4" customHeight="1" s="88"/>
    <row r="2073" ht="14.4" customHeight="1" s="88"/>
    <row r="2074" ht="14.4" customHeight="1" s="88"/>
    <row r="2075" ht="14.4" customHeight="1" s="88"/>
    <row r="2076" ht="14.4" customHeight="1" s="88"/>
    <row r="2077" ht="14.4" customHeight="1" s="88"/>
    <row r="2078" ht="14.4" customHeight="1" s="88"/>
    <row r="2079" ht="14.4" customHeight="1" s="88"/>
    <row r="2080" ht="14.4" customHeight="1" s="88"/>
    <row r="2081" ht="14.4" customHeight="1" s="88"/>
    <row r="2082" ht="14.4" customHeight="1" s="88"/>
    <row r="2083" ht="14.4" customHeight="1" s="88"/>
    <row r="2084" ht="14.4" customHeight="1" s="88"/>
    <row r="2085" ht="14.4" customHeight="1" s="88"/>
    <row r="2086" ht="14.4" customHeight="1" s="88"/>
    <row r="2087" ht="14.4" customHeight="1" s="88"/>
    <row r="2088" ht="14.4" customHeight="1" s="88"/>
    <row r="2089" ht="14.4" customHeight="1" s="88"/>
    <row r="2090" ht="14.4" customHeight="1" s="88"/>
    <row r="2091" ht="14.4" customHeight="1" s="88"/>
    <row r="2092" ht="14.4" customHeight="1" s="88"/>
    <row r="2093" ht="14.4" customHeight="1" s="88"/>
    <row r="2094" ht="14.4" customHeight="1" s="88"/>
    <row r="2095" ht="14.4" customHeight="1" s="88"/>
    <row r="2096" ht="14.4" customHeight="1" s="88"/>
    <row r="2097" ht="14.4" customHeight="1" s="88"/>
    <row r="2098" ht="14.4" customHeight="1" s="88"/>
    <row r="2099" ht="14.4" customHeight="1" s="88"/>
    <row r="2100" ht="14.4" customHeight="1" s="88"/>
    <row r="2101" ht="14.4" customHeight="1" s="88"/>
    <row r="2102" ht="14.4" customHeight="1" s="88"/>
    <row r="2103" ht="14.4" customHeight="1" s="88"/>
    <row r="2104" ht="14.4" customHeight="1" s="88"/>
    <row r="2105" ht="14.4" customHeight="1" s="88"/>
    <row r="2106" ht="14.4" customHeight="1" s="88"/>
    <row r="2107" ht="14.4" customHeight="1" s="88"/>
    <row r="2108" ht="14.4" customHeight="1" s="88"/>
    <row r="2109" ht="14.4" customHeight="1" s="88"/>
    <row r="2110" ht="14.4" customHeight="1" s="88"/>
    <row r="2111" ht="14.4" customHeight="1" s="88"/>
    <row r="2112" ht="14.4" customHeight="1" s="88"/>
    <row r="2113" ht="14.4" customHeight="1" s="88"/>
    <row r="2114" ht="14.4" customHeight="1" s="88"/>
    <row r="2115" ht="14.4" customHeight="1" s="88"/>
    <row r="2116" ht="14.4" customHeight="1" s="88"/>
    <row r="2117" ht="14.4" customHeight="1" s="88"/>
    <row r="2118" ht="14.4" customHeight="1" s="88"/>
    <row r="2119" ht="14.4" customHeight="1" s="88"/>
    <row r="2120" ht="14.4" customHeight="1" s="88"/>
    <row r="2121" ht="14.4" customHeight="1" s="88"/>
    <row r="2122" ht="14.4" customHeight="1" s="88"/>
    <row r="2123" ht="14.4" customHeight="1" s="88"/>
    <row r="2124" ht="14.4" customHeight="1" s="88"/>
    <row r="2125" ht="14.4" customHeight="1" s="88"/>
    <row r="2126" ht="14.4" customHeight="1" s="88"/>
    <row r="2127" ht="14.4" customHeight="1" s="88"/>
    <row r="2128" ht="14.4" customHeight="1" s="88"/>
    <row r="2129" ht="14.4" customHeight="1" s="88"/>
    <row r="2130" ht="14.4" customHeight="1" s="88"/>
    <row r="2131" ht="14.4" customHeight="1" s="88"/>
    <row r="2132" ht="14.4" customHeight="1" s="88"/>
    <row r="2133" ht="14.4" customHeight="1" s="88"/>
    <row r="2134" ht="14.4" customHeight="1" s="88"/>
    <row r="2135" ht="14.4" customHeight="1" s="88"/>
    <row r="2136" ht="14.4" customHeight="1" s="88"/>
    <row r="2137" ht="14.4" customHeight="1" s="88"/>
    <row r="2138" ht="14.4" customHeight="1" s="88"/>
    <row r="2139" ht="14.4" customHeight="1" s="88"/>
    <row r="2140" ht="14.4" customHeight="1" s="88"/>
    <row r="2141" ht="14.4" customHeight="1" s="88"/>
    <row r="2142" ht="14.4" customHeight="1" s="88"/>
    <row r="2143" ht="14.4" customHeight="1" s="88"/>
    <row r="2144" ht="14.4" customHeight="1" s="88"/>
    <row r="2145" ht="14.4" customHeight="1" s="88"/>
    <row r="2146" ht="14.4" customHeight="1" s="88"/>
    <row r="2147" ht="14.4" customHeight="1" s="88"/>
    <row r="2148" ht="14.4" customHeight="1" s="88"/>
    <row r="2149" ht="14.4" customHeight="1" s="88"/>
    <row r="2150" ht="14.4" customHeight="1" s="88"/>
    <row r="2151" ht="14.4" customHeight="1" s="88"/>
    <row r="2152" ht="14.4" customHeight="1" s="88"/>
    <row r="2153" ht="14.4" customHeight="1" s="88"/>
    <row r="2154" ht="14.4" customHeight="1" s="88"/>
    <row r="2155" ht="14.4" customHeight="1" s="88"/>
    <row r="2156" ht="14.4" customHeight="1" s="88"/>
    <row r="2157" ht="14.4" customHeight="1" s="88"/>
    <row r="2158" ht="14.4" customHeight="1" s="88"/>
    <row r="2159" ht="14.4" customHeight="1" s="88"/>
    <row r="2160" ht="14.4" customHeight="1" s="88"/>
    <row r="2161" ht="14.4" customHeight="1" s="88"/>
    <row r="2162" ht="14.4" customHeight="1" s="88"/>
    <row r="2163" ht="14.4" customHeight="1" s="88"/>
    <row r="2164" ht="14.4" customHeight="1" s="88"/>
    <row r="2165" ht="14.4" customHeight="1" s="88"/>
    <row r="2166" ht="14.4" customHeight="1" s="88"/>
    <row r="2167" ht="14.4" customHeight="1" s="88"/>
    <row r="2168" ht="14.4" customHeight="1" s="88"/>
    <row r="2169" ht="14.4" customHeight="1" s="88"/>
    <row r="2170" ht="14.4" customHeight="1" s="88"/>
    <row r="2171" ht="14.4" customHeight="1" s="88"/>
    <row r="2172" ht="14.4" customHeight="1" s="88"/>
    <row r="2173" ht="14.4" customHeight="1" s="88"/>
    <row r="2174" ht="14.4" customHeight="1" s="88"/>
    <row r="2175" ht="14.4" customHeight="1" s="88"/>
    <row r="2176" ht="14.4" customHeight="1" s="88"/>
    <row r="2177" ht="14.4" customHeight="1" s="88"/>
    <row r="2178" ht="14.4" customHeight="1" s="88"/>
    <row r="2179" ht="14.4" customHeight="1" s="88"/>
    <row r="2180" ht="14.4" customHeight="1" s="88"/>
    <row r="2181" ht="14.4" customHeight="1" s="88"/>
    <row r="2182" ht="14.4" customHeight="1" s="88"/>
    <row r="2183" ht="14.4" customHeight="1" s="88"/>
    <row r="2184" ht="14.4" customHeight="1" s="88"/>
    <row r="2185" ht="14.4" customHeight="1" s="88"/>
    <row r="2186" ht="14.4" customHeight="1" s="88"/>
    <row r="2187" ht="14.4" customHeight="1" s="88"/>
    <row r="2188" ht="14.4" customHeight="1" s="88"/>
    <row r="2189" ht="14.4" customHeight="1" s="88"/>
    <row r="2190" ht="14.4" customHeight="1" s="88"/>
    <row r="2191" ht="14.4" customHeight="1" s="88"/>
    <row r="2192" ht="14.4" customHeight="1" s="88"/>
    <row r="2193" ht="14.4" customHeight="1" s="88"/>
    <row r="2194" ht="14.4" customHeight="1" s="88"/>
    <row r="2195" ht="14.4" customHeight="1" s="88"/>
    <row r="2196" ht="14.4" customHeight="1" s="88"/>
    <row r="2197" ht="14.4" customHeight="1" s="88"/>
    <row r="2198" ht="14.4" customHeight="1" s="88"/>
    <row r="2199" ht="14.4" customHeight="1" s="88"/>
    <row r="2200" ht="14.4" customHeight="1" s="88"/>
    <row r="2201" ht="14.4" customHeight="1" s="88"/>
    <row r="2202" ht="14.4" customHeight="1" s="88"/>
    <row r="2203" ht="14.4" customHeight="1" s="88"/>
    <row r="2204" ht="14.4" customHeight="1" s="88"/>
    <row r="2205" ht="14.4" customHeight="1" s="88"/>
    <row r="2206" ht="14.4" customHeight="1" s="88"/>
    <row r="2207" ht="14.4" customHeight="1" s="88"/>
    <row r="2208" ht="14.4" customHeight="1" s="88"/>
    <row r="2209" ht="14.4" customHeight="1" s="88"/>
    <row r="2210" ht="14.4" customHeight="1" s="88"/>
    <row r="2211" ht="14.4" customHeight="1" s="88"/>
    <row r="2212" ht="14.4" customHeight="1" s="88"/>
    <row r="2213" ht="14.4" customHeight="1" s="88"/>
    <row r="2214" ht="14.4" customHeight="1" s="88"/>
    <row r="2215" ht="14.4" customHeight="1" s="88"/>
    <row r="2216" ht="14.4" customHeight="1" s="88"/>
    <row r="2217" ht="14.4" customHeight="1" s="88"/>
    <row r="2218" ht="14.4" customHeight="1" s="88"/>
    <row r="2219" ht="14.4" customHeight="1" s="88"/>
    <row r="2220" ht="14.4" customHeight="1" s="88"/>
    <row r="2221" ht="14.4" customHeight="1" s="88"/>
    <row r="2222" ht="14.4" customHeight="1" s="88"/>
    <row r="2223" ht="14.4" customHeight="1" s="88"/>
    <row r="2224" ht="14.4" customHeight="1" s="88"/>
    <row r="2225" ht="14.4" customHeight="1" s="88"/>
    <row r="2226" ht="14.4" customHeight="1" s="88"/>
    <row r="2227" ht="14.4" customHeight="1" s="88"/>
    <row r="2228" ht="14.4" customHeight="1" s="88"/>
    <row r="2229" ht="14.4" customHeight="1" s="88"/>
    <row r="2230" ht="14.4" customHeight="1" s="88"/>
    <row r="2231" ht="14.4" customHeight="1" s="88"/>
    <row r="2232" ht="14.4" customHeight="1" s="88"/>
    <row r="2233" ht="14.4" customHeight="1" s="88"/>
    <row r="2234" ht="14.4" customHeight="1" s="88"/>
    <row r="2235" ht="14.4" customHeight="1" s="88"/>
    <row r="2236" ht="14.4" customHeight="1" s="88"/>
    <row r="2237" ht="14.4" customHeight="1" s="88"/>
    <row r="2238" ht="14.4" customHeight="1" s="88"/>
    <row r="2239" ht="14.4" customHeight="1" s="88"/>
    <row r="2240" ht="14.4" customHeight="1" s="88"/>
    <row r="2241" ht="14.4" customHeight="1" s="88"/>
    <row r="2242" ht="14.4" customHeight="1" s="88"/>
    <row r="2243" ht="14.4" customHeight="1" s="88"/>
    <row r="2244" ht="14.4" customHeight="1" s="88"/>
    <row r="2245" ht="14.4" customHeight="1" s="88"/>
    <row r="2246" ht="14.4" customHeight="1" s="88"/>
    <row r="2247" ht="14.4" customHeight="1" s="88"/>
    <row r="2248" ht="14.4" customHeight="1" s="88"/>
    <row r="2249" ht="14.4" customHeight="1" s="88"/>
    <row r="2250" ht="14.4" customHeight="1" s="88"/>
    <row r="2251" ht="14.4" customHeight="1" s="88"/>
    <row r="2252" ht="14.4" customHeight="1" s="88"/>
    <row r="2253" ht="14.4" customHeight="1" s="88"/>
    <row r="2254" ht="14.4" customHeight="1" s="88"/>
    <row r="2255" ht="14.4" customHeight="1" s="88"/>
    <row r="2256" ht="14.4" customHeight="1" s="88"/>
    <row r="2257" ht="14.4" customHeight="1" s="88"/>
    <row r="2258" ht="14.4" customHeight="1" s="88"/>
    <row r="2259" ht="14.4" customHeight="1" s="88"/>
    <row r="2260" ht="14.4" customHeight="1" s="88"/>
    <row r="2261" ht="14.4" customHeight="1" s="88"/>
    <row r="2262" ht="14.4" customHeight="1" s="88"/>
    <row r="2263" ht="14.4" customHeight="1" s="88"/>
    <row r="2264" ht="14.4" customHeight="1" s="88"/>
    <row r="2265" ht="14.4" customHeight="1" s="88"/>
    <row r="2266" ht="14.4" customHeight="1" s="88"/>
    <row r="2267" ht="14.4" customHeight="1" s="88"/>
    <row r="2268" ht="14.4" customHeight="1" s="88"/>
    <row r="2269" ht="14.4" customHeight="1" s="88"/>
    <row r="2270" ht="14.4" customHeight="1" s="88"/>
    <row r="2271" ht="14.4" customHeight="1" s="88"/>
    <row r="2272" ht="14.4" customHeight="1" s="88"/>
    <row r="2273" ht="14.4" customHeight="1" s="88"/>
    <row r="2274" ht="14.4" customHeight="1" s="88"/>
    <row r="2275" ht="14.4" customHeight="1" s="88"/>
    <row r="2276" ht="14.4" customHeight="1" s="88"/>
    <row r="2277" ht="14.4" customHeight="1" s="88"/>
    <row r="2278" ht="14.4" customHeight="1" s="88"/>
    <row r="2279" ht="14.4" customHeight="1" s="88"/>
    <row r="2280" ht="14.4" customHeight="1" s="88"/>
    <row r="2281" ht="14.4" customHeight="1" s="88"/>
    <row r="2282" ht="14.4" customHeight="1" s="88"/>
    <row r="2283" ht="14.4" customHeight="1" s="88"/>
    <row r="2284" ht="14.4" customHeight="1" s="88"/>
    <row r="2285" ht="14.4" customHeight="1" s="88"/>
    <row r="2286" ht="14.4" customHeight="1" s="88"/>
    <row r="2287" ht="14.4" customHeight="1" s="88"/>
    <row r="2288" ht="14.4" customHeight="1" s="88"/>
    <row r="2289" ht="14.4" customHeight="1" s="88"/>
    <row r="2290" ht="14.4" customHeight="1" s="88"/>
    <row r="2291" ht="14.4" customHeight="1" s="88"/>
    <row r="2292" ht="14.4" customHeight="1" s="88"/>
    <row r="2293" ht="14.4" customHeight="1" s="88"/>
    <row r="2294" ht="14.4" customHeight="1" s="88"/>
    <row r="2295" ht="14.4" customHeight="1" s="88"/>
    <row r="2296" ht="14.4" customHeight="1" s="88"/>
    <row r="2297" ht="14.4" customHeight="1" s="88"/>
    <row r="2298" ht="14.4" customHeight="1" s="88"/>
    <row r="2299" ht="14.4" customHeight="1" s="88"/>
    <row r="2300" ht="14.4" customHeight="1" s="88"/>
    <row r="2301" ht="14.4" customHeight="1" s="88"/>
    <row r="2302" ht="14.4" customHeight="1" s="88"/>
    <row r="2303" ht="14.4" customHeight="1" s="88"/>
    <row r="2304" ht="14.4" customHeight="1" s="88"/>
    <row r="2305" ht="14.4" customHeight="1" s="88"/>
    <row r="2306" ht="14.4" customHeight="1" s="88"/>
    <row r="2307" ht="14.4" customHeight="1" s="88"/>
    <row r="2308" ht="14.4" customHeight="1" s="88"/>
    <row r="2309" ht="14.4" customHeight="1" s="88"/>
    <row r="2310" ht="14.4" customHeight="1" s="88"/>
    <row r="2311" ht="14.4" customHeight="1" s="88"/>
    <row r="2312" ht="14.4" customHeight="1" s="88"/>
    <row r="2313" ht="14.4" customHeight="1" s="88"/>
    <row r="2314" ht="14.4" customHeight="1" s="88"/>
    <row r="2315" ht="14.4" customHeight="1" s="88"/>
    <row r="2316" ht="14.4" customHeight="1" s="88"/>
    <row r="2317" ht="14.4" customHeight="1" s="88"/>
    <row r="2318" ht="14.4" customHeight="1" s="88"/>
    <row r="2319" ht="14.4" customHeight="1" s="88"/>
    <row r="2320" ht="14.4" customHeight="1" s="88"/>
    <row r="2321" ht="14.4" customHeight="1" s="88"/>
    <row r="2322" ht="14.4" customHeight="1" s="88"/>
    <row r="2323" ht="14.4" customHeight="1" s="88"/>
    <row r="2324" ht="14.4" customHeight="1" s="88"/>
    <row r="2325" ht="14.4" customHeight="1" s="88"/>
    <row r="2326" ht="14.4" customHeight="1" s="88"/>
    <row r="2327" ht="14.4" customHeight="1" s="88"/>
    <row r="2328" ht="14.4" customHeight="1" s="88"/>
    <row r="2329" ht="14.4" customHeight="1" s="88"/>
    <row r="2330" ht="14.4" customHeight="1" s="88"/>
    <row r="2331" ht="14.4" customHeight="1" s="88"/>
    <row r="2332" ht="14.4" customHeight="1" s="88"/>
    <row r="2333" ht="14.4" customHeight="1" s="88"/>
    <row r="2334" ht="14.4" customHeight="1" s="88"/>
    <row r="2335" ht="14.4" customHeight="1" s="88"/>
    <row r="2336" ht="14.4" customHeight="1" s="88"/>
    <row r="2337" ht="14.4" customHeight="1" s="88"/>
    <row r="2338" ht="14.4" customHeight="1" s="88"/>
    <row r="2339" ht="14.4" customHeight="1" s="88"/>
    <row r="2340" ht="14.4" customHeight="1" s="88"/>
    <row r="2341" ht="14.4" customHeight="1" s="88"/>
    <row r="2342" ht="14.4" customHeight="1" s="88"/>
    <row r="2343" ht="14.4" customHeight="1" s="88"/>
    <row r="2344" ht="14.4" customHeight="1" s="88"/>
    <row r="2345" ht="14.4" customHeight="1" s="88"/>
    <row r="2346" ht="14.4" customHeight="1" s="88"/>
    <row r="2347" ht="14.4" customHeight="1" s="88"/>
    <row r="2348" ht="14.4" customHeight="1" s="88"/>
    <row r="2349" ht="14.4" customHeight="1" s="88"/>
    <row r="2350" ht="14.4" customHeight="1" s="88"/>
    <row r="2351" ht="14.4" customHeight="1" s="88"/>
    <row r="2352" ht="14.4" customHeight="1" s="88"/>
    <row r="2353" ht="14.4" customHeight="1" s="88"/>
    <row r="2354" ht="14.4" customHeight="1" s="88"/>
    <row r="2355" ht="14.4" customHeight="1" s="88"/>
    <row r="2356" ht="14.4" customHeight="1" s="88"/>
    <row r="2357" ht="14.4" customHeight="1" s="88"/>
    <row r="2358" ht="14.4" customHeight="1" s="88"/>
    <row r="2359" ht="14.4" customHeight="1" s="88"/>
    <row r="2360" ht="14.4" customHeight="1" s="88"/>
    <row r="2361" ht="14.4" customHeight="1" s="88"/>
    <row r="2362" ht="14.4" customHeight="1" s="88"/>
    <row r="2363" ht="14.4" customHeight="1" s="88"/>
    <row r="2364" ht="14.4" customHeight="1" s="88"/>
    <row r="2365" ht="14.4" customHeight="1" s="88"/>
    <row r="2366" ht="14.4" customHeight="1" s="88"/>
    <row r="2367" ht="14.4" customHeight="1" s="88"/>
    <row r="2368" ht="14.4" customHeight="1" s="88"/>
    <row r="2369" ht="14.4" customHeight="1" s="88"/>
    <row r="2370" ht="14.4" customHeight="1" s="88"/>
    <row r="2371" ht="14.4" customHeight="1" s="88"/>
    <row r="2372" ht="14.4" customHeight="1" s="88"/>
    <row r="2373" ht="14.4" customHeight="1" s="88"/>
    <row r="2374" ht="14.4" customHeight="1" s="88"/>
    <row r="2375" ht="14.4" customHeight="1" s="88"/>
    <row r="2376" ht="14.4" customHeight="1" s="88"/>
    <row r="2377" ht="14.4" customHeight="1" s="88"/>
    <row r="2378" ht="14.4" customHeight="1" s="88"/>
    <row r="2379" ht="14.4" customHeight="1" s="88"/>
    <row r="2380" ht="14.4" customHeight="1" s="88"/>
    <row r="2381" ht="14.4" customHeight="1" s="88"/>
    <row r="2382" ht="14.4" customHeight="1" s="88"/>
    <row r="2383" ht="14.4" customHeight="1" s="88"/>
    <row r="2384" ht="14.4" customHeight="1" s="88"/>
    <row r="2385" ht="14.4" customHeight="1" s="88"/>
    <row r="2386" ht="14.4" customHeight="1" s="88"/>
    <row r="2387" ht="14.4" customHeight="1" s="88"/>
    <row r="2388" ht="14.4" customHeight="1" s="88"/>
    <row r="2389" ht="14.4" customHeight="1" s="88"/>
    <row r="2390" ht="14.4" customHeight="1" s="88"/>
    <row r="2391" ht="14.4" customHeight="1" s="88"/>
    <row r="2392" ht="14.4" customHeight="1" s="88"/>
    <row r="2393" ht="14.4" customHeight="1" s="88"/>
    <row r="2394" ht="14.4" customHeight="1" s="88"/>
    <row r="2395" ht="14.4" customHeight="1" s="88"/>
    <row r="2396" ht="14.4" customHeight="1" s="88"/>
    <row r="2397" ht="14.4" customHeight="1" s="88"/>
    <row r="2398" ht="14.4" customHeight="1" s="88"/>
    <row r="2399" ht="14.4" customHeight="1" s="88"/>
    <row r="2400" ht="14.4" customHeight="1" s="88"/>
    <row r="2401" ht="14.4" customHeight="1" s="88"/>
    <row r="2402" ht="14.4" customHeight="1" s="88"/>
    <row r="2403" ht="14.4" customHeight="1" s="88"/>
    <row r="2404" ht="14.4" customHeight="1" s="88"/>
    <row r="2405" ht="14.4" customHeight="1" s="88"/>
    <row r="2406" ht="14.4" customHeight="1" s="88"/>
    <row r="2407" ht="14.4" customHeight="1" s="88"/>
    <row r="2408" ht="14.4" customHeight="1" s="88"/>
    <row r="2409" ht="14.4" customHeight="1" s="88"/>
    <row r="2410" ht="14.4" customHeight="1" s="88"/>
    <row r="2411" ht="14.4" customHeight="1" s="88"/>
    <row r="2412" ht="14.4" customHeight="1" s="88"/>
    <row r="2413" ht="14.4" customHeight="1" s="88"/>
    <row r="2414" ht="14.4" customHeight="1" s="88"/>
    <row r="2415" ht="14.4" customHeight="1" s="88"/>
    <row r="2416" ht="14.4" customHeight="1" s="88"/>
    <row r="2417" ht="14.4" customHeight="1" s="88"/>
    <row r="2418" ht="14.4" customHeight="1" s="88"/>
    <row r="2419" ht="14.4" customHeight="1" s="88"/>
    <row r="2420" ht="14.4" customHeight="1" s="88"/>
    <row r="2421" ht="14.4" customHeight="1" s="88"/>
    <row r="2422" ht="14.4" customHeight="1" s="88"/>
    <row r="2423" ht="14.4" customHeight="1" s="88"/>
    <row r="2424" ht="14.4" customHeight="1" s="88"/>
    <row r="2425" ht="14.4" customHeight="1" s="88"/>
    <row r="2426" ht="14.4" customHeight="1" s="88"/>
    <row r="2427" ht="14.4" customHeight="1" s="88"/>
    <row r="2428" ht="14.4" customHeight="1" s="88"/>
    <row r="2429" ht="14.4" customHeight="1" s="88"/>
    <row r="2430" ht="14.4" customHeight="1" s="88"/>
    <row r="2431" ht="14.4" customHeight="1" s="88"/>
    <row r="2432" ht="14.4" customHeight="1" s="88"/>
    <row r="2433" ht="14.4" customHeight="1" s="88"/>
    <row r="2434" ht="14.4" customHeight="1" s="88"/>
    <row r="2435" ht="14.4" customHeight="1" s="88"/>
    <row r="2436" ht="14.4" customHeight="1" s="88"/>
    <row r="2437" ht="14.4" customHeight="1" s="88"/>
    <row r="2438" ht="14.4" customHeight="1" s="88"/>
    <row r="2439" ht="14.4" customHeight="1" s="88"/>
    <row r="2440" ht="14.4" customHeight="1" s="88"/>
    <row r="2441" ht="14.4" customHeight="1" s="88"/>
    <row r="2442" ht="14.4" customHeight="1" s="88"/>
    <row r="2443" ht="14.4" customHeight="1" s="88"/>
    <row r="2444" ht="14.4" customHeight="1" s="88"/>
    <row r="2445" ht="14.4" customHeight="1" s="88"/>
    <row r="2446" ht="14.4" customHeight="1" s="88"/>
    <row r="2447" ht="14.4" customHeight="1" s="88"/>
    <row r="2448" ht="14.4" customHeight="1" s="88"/>
    <row r="2449" ht="14.4" customHeight="1" s="88"/>
    <row r="2450" ht="14.4" customHeight="1" s="88"/>
    <row r="2451" ht="14.4" customHeight="1" s="88"/>
    <row r="2452" ht="14.4" customHeight="1" s="88"/>
    <row r="2453" ht="14.4" customHeight="1" s="88"/>
    <row r="2454" ht="14.4" customHeight="1" s="88"/>
    <row r="2455" ht="14.4" customHeight="1" s="88"/>
    <row r="2456" ht="14.4" customHeight="1" s="88"/>
    <row r="2457" ht="14.4" customHeight="1" s="88"/>
    <row r="2458" ht="14.4" customHeight="1" s="88"/>
    <row r="2459" ht="14.4" customHeight="1" s="88"/>
    <row r="2460" ht="14.4" customHeight="1" s="88"/>
    <row r="2461" ht="14.4" customHeight="1" s="88"/>
    <row r="2462" ht="14.4" customHeight="1" s="88"/>
    <row r="2463" ht="14.4" customHeight="1" s="88"/>
    <row r="2464" ht="14.4" customHeight="1" s="88"/>
    <row r="2465" ht="14.4" customHeight="1" s="88"/>
    <row r="2466" ht="14.4" customHeight="1" s="88"/>
    <row r="2467" ht="14.4" customHeight="1" s="88"/>
    <row r="2468" ht="14.4" customHeight="1" s="88"/>
    <row r="2469" ht="14.4" customHeight="1" s="88"/>
    <row r="2470" ht="14.4" customHeight="1" s="88"/>
    <row r="2471" ht="14.4" customHeight="1" s="88"/>
    <row r="2472" ht="14.4" customHeight="1" s="88"/>
    <row r="2473" ht="14.4" customHeight="1" s="88"/>
    <row r="2474" ht="14.4" customHeight="1" s="88"/>
    <row r="2475" ht="14.4" customHeight="1" s="88"/>
    <row r="2476" ht="14.4" customHeight="1" s="88"/>
    <row r="2477" ht="14.4" customHeight="1" s="88"/>
    <row r="2478" ht="14.4" customHeight="1" s="88"/>
    <row r="2479" ht="14.4" customHeight="1" s="88"/>
    <row r="2480" ht="14.4" customHeight="1" s="88"/>
    <row r="2481" ht="14.4" customHeight="1" s="88"/>
    <row r="2482" ht="14.4" customHeight="1" s="88"/>
    <row r="2483" ht="14.4" customHeight="1" s="88"/>
    <row r="2484" ht="14.4" customHeight="1" s="88"/>
    <row r="2485" ht="14.4" customHeight="1" s="88"/>
    <row r="2486" ht="14.4" customHeight="1" s="88"/>
    <row r="2487" ht="14.4" customHeight="1" s="88"/>
    <row r="2488" ht="14.4" customHeight="1" s="88"/>
    <row r="2489" ht="14.4" customHeight="1" s="88"/>
    <row r="2490" ht="14.4" customHeight="1" s="88"/>
    <row r="2491" ht="14.4" customHeight="1" s="88"/>
    <row r="2492" ht="14.4" customHeight="1" s="88"/>
    <row r="2493" ht="14.4" customHeight="1" s="88"/>
    <row r="2494" ht="14.4" customHeight="1" s="88"/>
    <row r="2495" ht="14.4" customHeight="1" s="88"/>
    <row r="2496" ht="14.4" customHeight="1" s="88"/>
    <row r="2497" ht="14.4" customHeight="1" s="88"/>
    <row r="2498" ht="14.4" customHeight="1" s="88"/>
    <row r="2499" ht="14.4" customHeight="1" s="88"/>
    <row r="2500" ht="14.4" customHeight="1" s="88"/>
    <row r="2501" ht="14.4" customHeight="1" s="88"/>
    <row r="2502" ht="14.4" customHeight="1" s="88"/>
    <row r="2503" ht="14.4" customHeight="1" s="88"/>
    <row r="2504" ht="14.4" customHeight="1" s="88"/>
    <row r="2505" ht="14.4" customHeight="1" s="88"/>
    <row r="2506" ht="14.4" customHeight="1" s="88"/>
    <row r="2507" ht="14.4" customHeight="1" s="88"/>
    <row r="2508" ht="14.4" customHeight="1" s="88"/>
    <row r="2509" ht="14.4" customHeight="1" s="88"/>
    <row r="2510" ht="14.4" customHeight="1" s="88"/>
    <row r="2511" ht="14.4" customHeight="1" s="88"/>
    <row r="2512" ht="14.4" customHeight="1" s="88"/>
    <row r="2513" ht="14.4" customHeight="1" s="88"/>
    <row r="2514" ht="14.4" customHeight="1" s="88"/>
    <row r="2515" ht="14.4" customHeight="1" s="88"/>
    <row r="2516" ht="14.4" customHeight="1" s="88"/>
    <row r="2517" ht="14.4" customHeight="1" s="88"/>
    <row r="2518" ht="14.4" customHeight="1" s="88"/>
    <row r="2519" ht="14.4" customHeight="1" s="88"/>
    <row r="2520" ht="14.4" customHeight="1" s="88"/>
    <row r="2521" ht="14.4" customHeight="1" s="88"/>
    <row r="2522" ht="14.4" customHeight="1" s="88"/>
    <row r="2523" ht="14.4" customHeight="1" s="88"/>
    <row r="2524" ht="14.4" customHeight="1" s="88"/>
    <row r="2525" ht="14.4" customHeight="1" s="88"/>
    <row r="2526" ht="14.4" customHeight="1" s="88"/>
    <row r="2527" ht="14.4" customHeight="1" s="88"/>
    <row r="2528" ht="14.4" customHeight="1" s="88"/>
    <row r="2529" ht="14.4" customHeight="1" s="88"/>
    <row r="2530" ht="14.4" customHeight="1" s="88"/>
    <row r="2531" ht="14.4" customHeight="1" s="88"/>
    <row r="2532" ht="14.4" customHeight="1" s="88"/>
    <row r="2533" ht="14.4" customHeight="1" s="88"/>
    <row r="2534" ht="14.4" customHeight="1" s="88"/>
    <row r="2535" ht="14.4" customHeight="1" s="88"/>
    <row r="2536" ht="14.4" customHeight="1" s="88"/>
    <row r="2537" ht="14.4" customHeight="1" s="88"/>
    <row r="2538" ht="14.4" customHeight="1" s="88"/>
    <row r="2539" ht="14.4" customHeight="1" s="88"/>
    <row r="2540" ht="14.4" customHeight="1" s="88"/>
    <row r="2541" ht="14.4" customHeight="1" s="88"/>
    <row r="2542" ht="14.4" customHeight="1" s="88"/>
    <row r="2543" ht="14.4" customHeight="1" s="88"/>
    <row r="2544" ht="14.4" customHeight="1" s="88"/>
    <row r="2545" ht="14.4" customHeight="1" s="88"/>
    <row r="2546" ht="14.4" customHeight="1" s="88"/>
    <row r="2547" ht="14.4" customHeight="1" s="88"/>
    <row r="2548" ht="14.4" customHeight="1" s="88"/>
    <row r="2549" ht="14.4" customHeight="1" s="88"/>
    <row r="2550" ht="14.4" customHeight="1" s="88"/>
    <row r="2551" ht="14.4" customHeight="1" s="88"/>
    <row r="2552" ht="14.4" customHeight="1" s="88"/>
    <row r="2553" ht="14.4" customHeight="1" s="88"/>
    <row r="2554" ht="14.4" customHeight="1" s="88"/>
    <row r="2555" ht="14.4" customHeight="1" s="88"/>
    <row r="2556" ht="14.4" customHeight="1" s="88"/>
    <row r="2557" ht="14.4" customHeight="1" s="88"/>
    <row r="2558" ht="14.4" customHeight="1" s="88"/>
    <row r="2559" ht="14.4" customHeight="1" s="88"/>
    <row r="2560" ht="14.4" customHeight="1" s="88"/>
    <row r="2561" ht="14.4" customHeight="1" s="88"/>
    <row r="2562" ht="14.4" customHeight="1" s="88"/>
    <row r="2563" ht="14.4" customHeight="1" s="88"/>
    <row r="2564" ht="14.4" customHeight="1" s="88"/>
    <row r="2565" ht="14.4" customHeight="1" s="88"/>
    <row r="2566" ht="14.4" customHeight="1" s="88"/>
    <row r="2567" ht="14.4" customHeight="1" s="88"/>
    <row r="2568" ht="14.4" customHeight="1" s="88"/>
    <row r="2569" ht="14.4" customHeight="1" s="88"/>
    <row r="2570" ht="14.4" customHeight="1" s="88"/>
    <row r="2571" ht="14.4" customHeight="1" s="88"/>
    <row r="2572" ht="14.4" customHeight="1" s="88"/>
    <row r="2573" ht="14.4" customHeight="1" s="88"/>
    <row r="2574" ht="14.4" customHeight="1" s="88"/>
    <row r="2575" ht="14.4" customHeight="1" s="88"/>
    <row r="2576" ht="14.4" customHeight="1" s="88"/>
    <row r="2577" ht="14.4" customHeight="1" s="88"/>
    <row r="2578" ht="14.4" customHeight="1" s="88"/>
    <row r="2579" ht="14.4" customHeight="1" s="88"/>
    <row r="2580" ht="14.4" customHeight="1" s="88"/>
    <row r="2581" ht="14.4" customHeight="1" s="88"/>
    <row r="2582" ht="14.4" customHeight="1" s="88"/>
    <row r="2583" ht="14.4" customHeight="1" s="88"/>
    <row r="2584" ht="14.4" customHeight="1" s="88"/>
    <row r="2585" ht="14.4" customHeight="1" s="88"/>
    <row r="2586" ht="14.4" customHeight="1" s="88"/>
    <row r="2587" ht="14.4" customHeight="1" s="88"/>
    <row r="2588" ht="14.4" customHeight="1" s="88"/>
    <row r="2589" ht="14.4" customHeight="1" s="88"/>
    <row r="2590" ht="14.4" customHeight="1" s="88"/>
    <row r="2591" ht="14.4" customHeight="1" s="88"/>
    <row r="2592" ht="14.4" customHeight="1" s="88"/>
    <row r="2593" ht="14.4" customHeight="1" s="88"/>
    <row r="2594" ht="14.4" customHeight="1" s="88"/>
    <row r="2595" ht="14.4" customHeight="1" s="88"/>
    <row r="2596" ht="14.4" customHeight="1" s="88"/>
    <row r="2597" ht="14.4" customHeight="1" s="88"/>
    <row r="2598" ht="14.4" customHeight="1" s="88"/>
    <row r="2599" ht="14.4" customHeight="1" s="88"/>
    <row r="2600" ht="14.4" customHeight="1" s="88"/>
    <row r="2601" ht="14.4" customHeight="1" s="88"/>
    <row r="2602" ht="14.4" customHeight="1" s="88"/>
    <row r="2603" ht="14.4" customHeight="1" s="88"/>
    <row r="2604" ht="14.4" customHeight="1" s="88"/>
    <row r="2605" ht="14.4" customHeight="1" s="88"/>
    <row r="2606" ht="14.4" customHeight="1" s="88"/>
    <row r="2607" ht="14.4" customHeight="1" s="88"/>
    <row r="2608" ht="14.4" customHeight="1" s="88"/>
    <row r="2609" ht="14.4" customHeight="1" s="88"/>
    <row r="2610" ht="14.4" customHeight="1" s="88"/>
    <row r="2611" ht="14.4" customHeight="1" s="88"/>
    <row r="2612" ht="14.4" customHeight="1" s="88"/>
    <row r="2613" ht="14.4" customHeight="1" s="88"/>
    <row r="2614" ht="14.4" customHeight="1" s="88"/>
    <row r="2615" ht="14.4" customHeight="1" s="88"/>
    <row r="2616" ht="14.4" customHeight="1" s="88"/>
    <row r="2617" ht="14.4" customHeight="1" s="88"/>
    <row r="2618" ht="14.4" customHeight="1" s="88"/>
    <row r="2619" ht="14.4" customHeight="1" s="88"/>
    <row r="2620" ht="14.4" customHeight="1" s="88"/>
    <row r="2621" ht="14.4" customHeight="1" s="88"/>
    <row r="2622" ht="14.4" customHeight="1" s="88"/>
    <row r="2623" ht="14.4" customHeight="1" s="88"/>
    <row r="2624" ht="14.4" customHeight="1" s="88"/>
    <row r="2625" ht="14.4" customHeight="1" s="88"/>
    <row r="2626" ht="14.4" customHeight="1" s="88"/>
    <row r="2627" ht="14.4" customHeight="1" s="88"/>
    <row r="2628" ht="14.4" customHeight="1" s="88"/>
    <row r="2629" ht="14.4" customHeight="1" s="88"/>
    <row r="2630" ht="14.4" customHeight="1" s="88"/>
    <row r="2631" ht="14.4" customHeight="1" s="88"/>
    <row r="2632" ht="14.4" customHeight="1" s="88"/>
    <row r="2633" ht="14.4" customHeight="1" s="88"/>
    <row r="2634" ht="14.4" customHeight="1" s="88"/>
    <row r="2635" ht="14.4" customHeight="1" s="88"/>
    <row r="2636" ht="14.4" customHeight="1" s="88"/>
    <row r="2637" ht="14.4" customHeight="1" s="88"/>
    <row r="2638" ht="14.4" customHeight="1" s="88"/>
    <row r="2639" ht="14.4" customHeight="1" s="88"/>
    <row r="2640" ht="14.4" customHeight="1" s="88"/>
    <row r="2641" ht="14.4" customHeight="1" s="88"/>
    <row r="2642" ht="14.4" customHeight="1" s="88"/>
    <row r="2643" ht="14.4" customHeight="1" s="88"/>
    <row r="2644" ht="14.4" customHeight="1" s="88"/>
    <row r="2645" ht="14.4" customHeight="1" s="88"/>
    <row r="2646" ht="14.4" customHeight="1" s="88"/>
    <row r="2647" ht="14.4" customHeight="1" s="88"/>
    <row r="2648" ht="14.4" customHeight="1" s="88"/>
    <row r="2649" ht="14.4" customHeight="1" s="88"/>
    <row r="2650" ht="14.4" customHeight="1" s="88"/>
    <row r="2651" ht="14.4" customHeight="1" s="88"/>
    <row r="2652" ht="14.4" customHeight="1" s="88"/>
    <row r="2653" ht="14.4" customHeight="1" s="88"/>
    <row r="2654" ht="14.4" customHeight="1" s="88"/>
    <row r="2655" ht="14.4" customHeight="1" s="88"/>
    <row r="2656" ht="14.4" customHeight="1" s="88"/>
    <row r="2657" ht="14.4" customHeight="1" s="88"/>
    <row r="2658" ht="14.4" customHeight="1" s="88"/>
    <row r="2659" ht="14.4" customHeight="1" s="88"/>
    <row r="2660" ht="14.4" customHeight="1" s="88"/>
    <row r="2661" ht="14.4" customHeight="1" s="88"/>
    <row r="2662" ht="14.4" customHeight="1" s="88"/>
    <row r="2663" ht="14.4" customHeight="1" s="88"/>
    <row r="2664" ht="14.4" customHeight="1" s="88"/>
    <row r="2665" ht="14.4" customHeight="1" s="88"/>
    <row r="2666" ht="14.4" customHeight="1" s="88"/>
    <row r="2667" ht="14.4" customHeight="1" s="88"/>
    <row r="2668" ht="14.4" customHeight="1" s="88"/>
    <row r="2669" ht="14.4" customHeight="1" s="88"/>
    <row r="2670" ht="14.4" customHeight="1" s="88"/>
    <row r="2671" ht="14.4" customHeight="1" s="88"/>
    <row r="2672" ht="14.4" customHeight="1" s="88"/>
    <row r="2673" ht="14.4" customHeight="1" s="88"/>
    <row r="2674" ht="14.4" customHeight="1" s="88"/>
    <row r="2675" ht="14.4" customHeight="1" s="88"/>
    <row r="2676" ht="14.4" customHeight="1" s="88"/>
    <row r="2677" ht="14.4" customHeight="1" s="88"/>
    <row r="2678" ht="14.4" customHeight="1" s="88"/>
    <row r="2679" ht="14.4" customHeight="1" s="88"/>
    <row r="2680" ht="14.4" customHeight="1" s="88"/>
    <row r="2681" ht="14.4" customHeight="1" s="88"/>
    <row r="2682" ht="14.4" customHeight="1" s="88"/>
    <row r="2683" ht="14.4" customHeight="1" s="88"/>
    <row r="2684" ht="14.4" customHeight="1" s="88"/>
    <row r="2685" ht="14.4" customHeight="1" s="88"/>
    <row r="2686" ht="14.4" customHeight="1" s="88"/>
    <row r="2687" ht="14.4" customHeight="1" s="88"/>
    <row r="2688" ht="14.4" customHeight="1" s="88"/>
    <row r="2689" ht="14.4" customHeight="1" s="88"/>
    <row r="2690" ht="14.4" customHeight="1" s="88"/>
    <row r="2691" ht="14.4" customHeight="1" s="88"/>
    <row r="2692" ht="14.4" customHeight="1" s="88"/>
    <row r="2693" ht="14.4" customHeight="1" s="88"/>
    <row r="2694" ht="14.4" customHeight="1" s="88"/>
    <row r="2695" ht="14.4" customHeight="1" s="88"/>
    <row r="2696" ht="14.4" customHeight="1" s="88"/>
    <row r="2697" ht="14.4" customHeight="1" s="88"/>
    <row r="2698" ht="14.4" customHeight="1" s="88"/>
    <row r="2699" ht="14.4" customHeight="1" s="88"/>
    <row r="2700" ht="14.4" customHeight="1" s="88"/>
    <row r="2701" ht="14.4" customHeight="1" s="88"/>
    <row r="2702" ht="14.4" customHeight="1" s="88"/>
    <row r="2703" ht="14.4" customHeight="1" s="88"/>
    <row r="2704" ht="14.4" customHeight="1" s="88"/>
    <row r="2705" ht="14.4" customHeight="1" s="88"/>
    <row r="2706" ht="14.4" customHeight="1" s="88"/>
    <row r="2707" ht="14.4" customHeight="1" s="88"/>
    <row r="2708" ht="14.4" customHeight="1" s="88"/>
    <row r="2709" ht="14.4" customHeight="1" s="88"/>
    <row r="2710" ht="14.4" customHeight="1" s="88"/>
    <row r="2711" ht="14.4" customHeight="1" s="88"/>
    <row r="2712" ht="14.4" customHeight="1" s="88"/>
    <row r="2713" ht="14.4" customHeight="1" s="88"/>
    <row r="2714" ht="14.4" customHeight="1" s="88"/>
    <row r="2715" ht="14.4" customHeight="1" s="88"/>
    <row r="2716" ht="14.4" customHeight="1" s="88"/>
    <row r="2717" ht="14.4" customHeight="1" s="88"/>
    <row r="2718" ht="14.4" customHeight="1" s="88"/>
    <row r="2719" ht="14.4" customHeight="1" s="88"/>
    <row r="2720" ht="14.4" customHeight="1" s="88"/>
    <row r="2721" ht="14.4" customHeight="1" s="88"/>
    <row r="2722" ht="14.4" customHeight="1" s="88"/>
    <row r="2723" ht="14.4" customHeight="1" s="88"/>
    <row r="2724" ht="14.4" customHeight="1" s="88"/>
    <row r="2725" ht="14.4" customHeight="1" s="88"/>
    <row r="2726" ht="14.4" customHeight="1" s="88"/>
    <row r="2727" ht="14.4" customHeight="1" s="88"/>
    <row r="2728" ht="14.4" customHeight="1" s="88"/>
    <row r="2729" ht="14.4" customHeight="1" s="88"/>
    <row r="2730" ht="14.4" customHeight="1" s="88"/>
    <row r="2731" ht="14.4" customHeight="1" s="88"/>
    <row r="2732" ht="14.4" customHeight="1" s="88"/>
    <row r="2733" ht="14.4" customHeight="1" s="88"/>
    <row r="2734" ht="14.4" customHeight="1" s="88"/>
    <row r="2735" ht="14.4" customHeight="1" s="88"/>
    <row r="2736" ht="14.4" customHeight="1" s="88"/>
    <row r="2737" ht="14.4" customHeight="1" s="88"/>
    <row r="2738" ht="14.4" customHeight="1" s="88"/>
    <row r="2739" ht="14.4" customHeight="1" s="88"/>
    <row r="2740" ht="14.4" customHeight="1" s="88"/>
    <row r="2741" ht="14.4" customHeight="1" s="88"/>
    <row r="2742" ht="14.4" customHeight="1" s="88"/>
    <row r="2743" ht="14.4" customHeight="1" s="88"/>
    <row r="2744" ht="14.4" customHeight="1" s="88"/>
    <row r="2745" ht="14.4" customHeight="1" s="88"/>
    <row r="2746" ht="14.4" customHeight="1" s="88"/>
    <row r="2747" ht="14.4" customHeight="1" s="88"/>
    <row r="2748" ht="14.4" customHeight="1" s="88"/>
    <row r="2749" ht="14.4" customHeight="1" s="88"/>
    <row r="2750" ht="14.4" customHeight="1" s="88"/>
    <row r="2751" ht="14.4" customHeight="1" s="88"/>
    <row r="2752" ht="14.4" customHeight="1" s="88"/>
    <row r="2753" ht="14.4" customHeight="1" s="88"/>
    <row r="2754" ht="14.4" customHeight="1" s="88"/>
    <row r="2755" ht="14.4" customHeight="1" s="88"/>
    <row r="2756" ht="14.4" customHeight="1" s="88"/>
    <row r="2757" ht="14.4" customHeight="1" s="88"/>
    <row r="2758" ht="14.4" customHeight="1" s="88"/>
    <row r="2759" ht="14.4" customHeight="1" s="88"/>
    <row r="2760" ht="14.4" customHeight="1" s="88"/>
    <row r="2761" ht="14.4" customHeight="1" s="88"/>
    <row r="2762" ht="14.4" customHeight="1" s="88"/>
    <row r="2763" ht="14.4" customHeight="1" s="88"/>
    <row r="2764" ht="14.4" customHeight="1" s="88"/>
    <row r="2765" ht="14.4" customHeight="1" s="88"/>
    <row r="2766" ht="14.4" customHeight="1" s="88"/>
    <row r="2767" ht="14.4" customHeight="1" s="88"/>
    <row r="2768" ht="14.4" customHeight="1" s="88"/>
    <row r="2769" ht="14.4" customHeight="1" s="88"/>
    <row r="2770" ht="14.4" customHeight="1" s="88"/>
    <row r="2771" ht="14.4" customHeight="1" s="88"/>
    <row r="2772" ht="14.4" customHeight="1" s="88"/>
    <row r="2773" ht="14.4" customHeight="1" s="88"/>
    <row r="2774" ht="14.4" customHeight="1" s="88"/>
    <row r="2775" ht="14.4" customHeight="1" s="88"/>
    <row r="2776" ht="14.4" customHeight="1" s="88"/>
    <row r="2777" ht="14.4" customHeight="1" s="88"/>
    <row r="2778" ht="14.4" customHeight="1" s="88"/>
    <row r="2779" ht="14.4" customHeight="1" s="88"/>
    <row r="2780" ht="14.4" customHeight="1" s="88"/>
    <row r="2781" ht="14.4" customHeight="1" s="88"/>
    <row r="2782" ht="14.4" customHeight="1" s="88"/>
    <row r="2783" ht="14.4" customHeight="1" s="88"/>
    <row r="2784" ht="14.4" customHeight="1" s="88"/>
    <row r="2785" ht="14.4" customHeight="1" s="88"/>
    <row r="2786" ht="14.4" customHeight="1" s="88"/>
    <row r="2787" ht="14.4" customHeight="1" s="88"/>
    <row r="2788" ht="14.4" customHeight="1" s="88"/>
    <row r="2789" ht="14.4" customHeight="1" s="88"/>
    <row r="2790" ht="14.4" customHeight="1" s="88"/>
    <row r="2791" ht="14.4" customHeight="1" s="88"/>
    <row r="2792" ht="14.4" customHeight="1" s="88"/>
    <row r="2793" ht="14.4" customHeight="1" s="88"/>
    <row r="2794" ht="14.4" customHeight="1" s="88"/>
    <row r="2795" ht="14.4" customHeight="1" s="88"/>
    <row r="2796" ht="14.4" customHeight="1" s="88"/>
    <row r="2797" ht="14.4" customHeight="1" s="88"/>
    <row r="2798" ht="14.4" customHeight="1" s="88"/>
    <row r="2799" ht="14.4" customHeight="1" s="88"/>
    <row r="2800" ht="14.4" customHeight="1" s="88"/>
    <row r="2801" ht="14.4" customHeight="1" s="88"/>
    <row r="2802" ht="14.4" customHeight="1" s="88"/>
    <row r="2803" ht="14.4" customHeight="1" s="88"/>
    <row r="2804" ht="14.4" customHeight="1" s="88"/>
    <row r="2805" ht="14.4" customHeight="1" s="88"/>
    <row r="2806" ht="14.4" customHeight="1" s="88"/>
    <row r="2807" ht="14.4" customHeight="1" s="88"/>
    <row r="2808" ht="14.4" customHeight="1" s="88"/>
    <row r="2809" ht="14.4" customHeight="1" s="88"/>
    <row r="2810" ht="14.4" customHeight="1" s="88"/>
    <row r="2811" ht="14.4" customHeight="1" s="88"/>
    <row r="2812" ht="14.4" customHeight="1" s="88"/>
    <row r="2813" ht="14.4" customHeight="1" s="88"/>
    <row r="2814" ht="14.4" customHeight="1" s="88"/>
    <row r="2815" ht="14.4" customHeight="1" s="88"/>
    <row r="2816" ht="14.4" customHeight="1" s="88"/>
    <row r="2817" ht="14.4" customHeight="1" s="88"/>
    <row r="2818" ht="14.4" customHeight="1" s="88"/>
    <row r="2819" ht="14.4" customHeight="1" s="88"/>
    <row r="2820" ht="14.4" customHeight="1" s="88"/>
    <row r="2821" ht="14.4" customHeight="1" s="88"/>
    <row r="2822" ht="14.4" customHeight="1" s="88"/>
    <row r="2823" ht="14.4" customHeight="1" s="88"/>
    <row r="2824" ht="14.4" customHeight="1" s="88"/>
    <row r="2825" ht="14.4" customHeight="1" s="88"/>
    <row r="2826" ht="14.4" customHeight="1" s="88"/>
    <row r="2827" ht="14.4" customHeight="1" s="88"/>
    <row r="2828" ht="14.4" customHeight="1" s="88"/>
    <row r="2829" ht="14.4" customHeight="1" s="88"/>
    <row r="2830" ht="14.4" customHeight="1" s="88"/>
    <row r="2831" ht="14.4" customHeight="1" s="88"/>
    <row r="2832" ht="14.4" customHeight="1" s="88"/>
    <row r="2833" ht="14.4" customHeight="1" s="88"/>
    <row r="2834" ht="14.4" customHeight="1" s="88"/>
    <row r="2835" ht="14.4" customHeight="1" s="88"/>
    <row r="2836" ht="14.4" customHeight="1" s="88"/>
    <row r="2837" ht="14.4" customHeight="1" s="88"/>
    <row r="2838" ht="14.4" customHeight="1" s="88"/>
    <row r="2839" ht="14.4" customHeight="1" s="88"/>
    <row r="2840" ht="14.4" customHeight="1" s="88"/>
    <row r="2841" ht="14.4" customHeight="1" s="88"/>
    <row r="2842" ht="14.4" customHeight="1" s="88"/>
    <row r="2843" ht="14.4" customHeight="1" s="88"/>
    <row r="2844" ht="14.4" customHeight="1" s="88"/>
    <row r="2845" ht="14.4" customHeight="1" s="88"/>
    <row r="2846" ht="14.4" customHeight="1" s="88"/>
    <row r="2847" ht="14.4" customHeight="1" s="88"/>
    <row r="2848" ht="14.4" customHeight="1" s="88"/>
    <row r="2849" ht="14.4" customHeight="1" s="88"/>
    <row r="2850" ht="14.4" customHeight="1" s="88"/>
    <row r="2851" ht="14.4" customHeight="1" s="88"/>
    <row r="2852" ht="14.4" customHeight="1" s="88"/>
    <row r="2853" ht="14.4" customHeight="1" s="88"/>
    <row r="2854" ht="14.4" customHeight="1" s="88"/>
    <row r="2855" ht="14.4" customHeight="1" s="88"/>
    <row r="2856" ht="14.4" customHeight="1" s="88"/>
    <row r="2857" ht="14.4" customHeight="1" s="88"/>
    <row r="2858" ht="14.4" customHeight="1" s="88"/>
    <row r="2859" ht="14.4" customHeight="1" s="88"/>
    <row r="2860" ht="14.4" customHeight="1" s="88"/>
    <row r="2861" ht="14.4" customHeight="1" s="88"/>
    <row r="2862" ht="14.4" customHeight="1" s="88"/>
    <row r="2863" ht="14.4" customHeight="1" s="88"/>
    <row r="2864" ht="14.4" customHeight="1" s="88"/>
    <row r="2865" ht="14.4" customHeight="1" s="88"/>
    <row r="2866" ht="14.4" customHeight="1" s="88"/>
    <row r="2867" ht="14.4" customHeight="1" s="88"/>
    <row r="2868" ht="14.4" customHeight="1" s="88"/>
    <row r="2869" ht="14.4" customHeight="1" s="88"/>
    <row r="2870" ht="14.4" customHeight="1" s="88"/>
    <row r="2871" ht="14.4" customHeight="1" s="88"/>
    <row r="2872" ht="14.4" customHeight="1" s="88"/>
    <row r="2873" ht="14.4" customHeight="1" s="88"/>
    <row r="2874" ht="14.4" customHeight="1" s="88"/>
    <row r="2875" ht="14.4" customHeight="1" s="88"/>
    <row r="2876" ht="14.4" customHeight="1" s="88"/>
    <row r="2877" ht="14.4" customHeight="1" s="88"/>
    <row r="2878" ht="14.4" customHeight="1" s="88"/>
    <row r="2879" ht="14.4" customHeight="1" s="88"/>
    <row r="2880" ht="14.4" customHeight="1" s="88"/>
    <row r="2881" ht="14.4" customHeight="1" s="88"/>
    <row r="2882" ht="14.4" customHeight="1" s="88"/>
    <row r="2883" ht="14.4" customHeight="1" s="88"/>
    <row r="2884" ht="14.4" customHeight="1" s="88"/>
    <row r="2885" ht="14.4" customHeight="1" s="88"/>
    <row r="2886" ht="14.4" customHeight="1" s="88"/>
    <row r="2887" ht="14.4" customHeight="1" s="88"/>
    <row r="2888" ht="14.4" customHeight="1" s="88"/>
    <row r="2889" ht="14.4" customHeight="1" s="88"/>
    <row r="2890" ht="14.4" customHeight="1" s="88"/>
    <row r="2891" ht="14.4" customHeight="1" s="88"/>
    <row r="2892" ht="14.4" customHeight="1" s="88"/>
    <row r="2893" ht="14.4" customHeight="1" s="88"/>
    <row r="2894" ht="14.4" customHeight="1" s="88"/>
    <row r="2895" ht="14.4" customHeight="1" s="88"/>
    <row r="2896" ht="14.4" customHeight="1" s="88"/>
    <row r="2897" ht="14.4" customHeight="1" s="88"/>
    <row r="2898" ht="14.4" customHeight="1" s="88"/>
    <row r="2899" ht="14.4" customHeight="1" s="88"/>
    <row r="2900" ht="14.4" customHeight="1" s="88"/>
    <row r="2901" ht="14.4" customHeight="1" s="88"/>
    <row r="2902" ht="14.4" customHeight="1" s="88"/>
    <row r="2903" ht="14.4" customHeight="1" s="88"/>
    <row r="2904" ht="14.4" customHeight="1" s="88"/>
    <row r="2905" ht="14.4" customHeight="1" s="88"/>
    <row r="2906" ht="14.4" customHeight="1" s="88"/>
    <row r="2907" ht="14.4" customHeight="1" s="88"/>
    <row r="2908" ht="14.4" customHeight="1" s="88"/>
    <row r="2909" ht="14.4" customHeight="1" s="88"/>
    <row r="2910" ht="14.4" customHeight="1" s="88"/>
    <row r="2911" ht="14.4" customHeight="1" s="88"/>
    <row r="2912" ht="14.4" customHeight="1" s="88"/>
    <row r="2913" ht="14.4" customHeight="1" s="88"/>
    <row r="2914" ht="14.4" customHeight="1" s="88"/>
    <row r="2915" ht="14.4" customHeight="1" s="88"/>
    <row r="2916" ht="14.4" customHeight="1" s="88"/>
    <row r="2917" ht="14.4" customHeight="1" s="88"/>
    <row r="2918" ht="14.4" customHeight="1" s="88"/>
    <row r="2919" ht="14.4" customHeight="1" s="88"/>
    <row r="2920" ht="14.4" customHeight="1" s="88"/>
    <row r="2921" ht="14.4" customHeight="1" s="88"/>
    <row r="2922" ht="14.4" customHeight="1" s="88"/>
    <row r="2923" ht="14.4" customHeight="1" s="88"/>
    <row r="2924" ht="14.4" customHeight="1" s="88"/>
    <row r="2925" ht="14.4" customHeight="1" s="88"/>
    <row r="2926" ht="14.4" customHeight="1" s="88"/>
    <row r="2927" ht="14.4" customHeight="1" s="88"/>
    <row r="2928" ht="14.4" customHeight="1" s="88"/>
    <row r="2929" ht="14.4" customHeight="1" s="88"/>
    <row r="2930" ht="14.4" customHeight="1" s="88"/>
    <row r="2931" ht="14.4" customHeight="1" s="88"/>
    <row r="2932" ht="14.4" customHeight="1" s="88"/>
    <row r="2933" ht="14.4" customHeight="1" s="88"/>
    <row r="2934" ht="14.4" customHeight="1" s="88"/>
    <row r="2935" ht="14.4" customHeight="1" s="88"/>
    <row r="2936" ht="14.4" customHeight="1" s="88"/>
    <row r="2937" ht="14.4" customHeight="1" s="88"/>
    <row r="2938" ht="14.4" customHeight="1" s="88"/>
    <row r="2939" ht="14.4" customHeight="1" s="88"/>
    <row r="2940" ht="14.4" customHeight="1" s="88"/>
    <row r="2941" ht="14.4" customHeight="1" s="88"/>
    <row r="2942" ht="14.4" customHeight="1" s="88"/>
    <row r="2943" ht="14.4" customHeight="1" s="88"/>
    <row r="2944" ht="14.4" customHeight="1" s="88"/>
    <row r="2945" ht="14.4" customHeight="1" s="88"/>
    <row r="2946" ht="14.4" customHeight="1" s="88"/>
    <row r="2947" ht="14.4" customHeight="1" s="88"/>
    <row r="2948" ht="14.4" customHeight="1" s="88"/>
    <row r="2949" ht="14.4" customHeight="1" s="88"/>
    <row r="2950" ht="14.4" customHeight="1" s="88"/>
    <row r="2951" ht="14.4" customHeight="1" s="88"/>
    <row r="2952" ht="14.4" customHeight="1" s="88"/>
    <row r="2953" ht="14.4" customHeight="1" s="88"/>
    <row r="2954" ht="14.4" customHeight="1" s="88"/>
    <row r="2955" ht="14.4" customHeight="1" s="88"/>
    <row r="2956" ht="14.4" customHeight="1" s="88"/>
    <row r="2957" ht="14.4" customHeight="1" s="88"/>
    <row r="2958" ht="14.4" customHeight="1" s="88"/>
    <row r="2959" ht="14.4" customHeight="1" s="88"/>
    <row r="2960" ht="14.4" customHeight="1" s="88"/>
    <row r="2961" ht="14.4" customHeight="1" s="88"/>
    <row r="2962" ht="14.4" customHeight="1" s="88"/>
    <row r="2963" ht="14.4" customHeight="1" s="88"/>
    <row r="2964" ht="14.4" customHeight="1" s="88"/>
    <row r="2965" ht="14.4" customHeight="1" s="88"/>
    <row r="2966" ht="14.4" customHeight="1" s="88"/>
    <row r="2967" ht="14.4" customHeight="1" s="88"/>
    <row r="2968" ht="14.4" customHeight="1" s="88"/>
    <row r="2969" ht="14.4" customHeight="1" s="88"/>
    <row r="2970" ht="14.4" customHeight="1" s="88"/>
    <row r="2971" ht="14.4" customHeight="1" s="88"/>
    <row r="2972" ht="14.4" customHeight="1" s="88"/>
    <row r="2973" ht="14.4" customHeight="1" s="88"/>
    <row r="2974" ht="14.4" customHeight="1" s="88"/>
    <row r="2975" ht="14.4" customHeight="1" s="88"/>
    <row r="2976" ht="14.4" customHeight="1" s="88"/>
    <row r="2977" ht="14.4" customHeight="1" s="88"/>
    <row r="2978" ht="14.4" customHeight="1" s="88"/>
    <row r="2979" ht="14.4" customHeight="1" s="88"/>
    <row r="2980" ht="14.4" customHeight="1" s="88"/>
    <row r="2981" ht="14.4" customHeight="1" s="88"/>
    <row r="2982" ht="14.4" customHeight="1" s="88"/>
    <row r="2983" ht="14.4" customHeight="1" s="88"/>
    <row r="2984" ht="14.4" customHeight="1" s="88"/>
    <row r="2985" ht="14.4" customHeight="1" s="88"/>
    <row r="2986" ht="14.4" customHeight="1" s="88"/>
    <row r="2987" ht="14.4" customHeight="1" s="88"/>
    <row r="2988" ht="14.4" customHeight="1" s="88"/>
    <row r="2989" ht="14.4" customHeight="1" s="88"/>
    <row r="2990" ht="14.4" customHeight="1" s="88"/>
    <row r="2991" ht="14.4" customHeight="1" s="88"/>
    <row r="2992" ht="14.4" customHeight="1" s="88"/>
    <row r="2993" ht="14.4" customHeight="1" s="88"/>
    <row r="2994" ht="14.4" customHeight="1" s="88"/>
    <row r="2995" ht="14.4" customHeight="1" s="88"/>
    <row r="2996" ht="14.4" customHeight="1" s="88"/>
    <row r="2997" ht="14.4" customHeight="1" s="88"/>
    <row r="2998" ht="14.4" customHeight="1" s="88"/>
    <row r="2999" ht="14.4" customHeight="1" s="88"/>
    <row r="3000" ht="14.4" customHeight="1" s="88"/>
    <row r="3001" ht="14.4" customHeight="1" s="88"/>
    <row r="3002" ht="14.4" customHeight="1" s="88"/>
    <row r="3003" ht="14.4" customHeight="1" s="88"/>
    <row r="3004" ht="14.4" customHeight="1" s="88"/>
    <row r="3005" ht="14.4" customHeight="1" s="88"/>
    <row r="3006" ht="14.4" customHeight="1" s="88"/>
    <row r="3007" ht="14.4" customHeight="1" s="88"/>
    <row r="3008" ht="14.4" customHeight="1" s="88"/>
    <row r="3009" ht="14.4" customHeight="1" s="88"/>
    <row r="3010" ht="14.4" customHeight="1" s="88"/>
    <row r="3011" ht="14.4" customHeight="1" s="88"/>
    <row r="3012" ht="14.4" customHeight="1" s="88"/>
    <row r="3013" ht="14.4" customHeight="1" s="88"/>
    <row r="3014" ht="14.4" customHeight="1" s="88"/>
    <row r="3015" ht="14.4" customHeight="1" s="88"/>
    <row r="3016" ht="14.4" customHeight="1" s="88"/>
    <row r="3017" ht="14.4" customHeight="1" s="88"/>
    <row r="3018" ht="14.4" customHeight="1" s="88"/>
    <row r="3019" ht="14.4" customHeight="1" s="88"/>
    <row r="3020" ht="14.4" customHeight="1" s="88"/>
    <row r="3021" ht="14.4" customHeight="1" s="88"/>
    <row r="3022" ht="14.4" customHeight="1" s="88"/>
    <row r="3023" ht="14.4" customHeight="1" s="88"/>
    <row r="3024" ht="14.4" customHeight="1" s="88"/>
    <row r="3025" ht="14.4" customHeight="1" s="88"/>
    <row r="3026" ht="14.4" customHeight="1" s="88"/>
    <row r="3027" ht="14.4" customHeight="1" s="88"/>
    <row r="3028" ht="14.4" customHeight="1" s="88"/>
    <row r="3029" ht="14.4" customHeight="1" s="88"/>
    <row r="3030" ht="14.4" customHeight="1" s="88"/>
    <row r="3031" ht="14.4" customHeight="1" s="88"/>
    <row r="3032" ht="14.4" customHeight="1" s="88"/>
    <row r="3033" ht="14.4" customHeight="1" s="88"/>
    <row r="3034" ht="14.4" customHeight="1" s="88"/>
    <row r="3035" ht="14.4" customHeight="1" s="88"/>
    <row r="3036" ht="14.4" customHeight="1" s="88"/>
    <row r="3037" ht="14.4" customHeight="1" s="88"/>
    <row r="3038" ht="14.4" customHeight="1" s="88"/>
    <row r="3039" ht="14.4" customHeight="1" s="88"/>
    <row r="3040" ht="14.4" customHeight="1" s="88"/>
    <row r="3041" ht="14.4" customHeight="1" s="88"/>
    <row r="3042" ht="14.4" customHeight="1" s="88"/>
    <row r="3043" ht="14.4" customHeight="1" s="88"/>
    <row r="3044" ht="14.4" customHeight="1" s="88"/>
    <row r="3045" ht="14.4" customHeight="1" s="88"/>
    <row r="3046" ht="14.4" customHeight="1" s="88"/>
    <row r="3047" ht="14.4" customHeight="1" s="88"/>
    <row r="3048" ht="14.4" customHeight="1" s="88"/>
    <row r="3049" ht="14.4" customHeight="1" s="88"/>
    <row r="3050" ht="14.4" customHeight="1" s="88"/>
    <row r="3051" ht="14.4" customHeight="1" s="88"/>
    <row r="3052" ht="14.4" customHeight="1" s="88"/>
    <row r="3053" ht="14.4" customHeight="1" s="88"/>
    <row r="3054" ht="14.4" customHeight="1" s="88"/>
    <row r="3055" ht="14.4" customHeight="1" s="88"/>
    <row r="3056" ht="14.4" customHeight="1" s="88"/>
    <row r="3057" ht="14.4" customHeight="1" s="88"/>
    <row r="3058" ht="14.4" customHeight="1" s="88"/>
    <row r="3059" ht="14.4" customHeight="1" s="88"/>
    <row r="3060" ht="14.4" customHeight="1" s="88"/>
    <row r="3061" ht="14.4" customHeight="1" s="88"/>
    <row r="3062" ht="14.4" customHeight="1" s="88"/>
    <row r="3063" ht="14.4" customHeight="1" s="88"/>
    <row r="3064" ht="14.4" customHeight="1" s="88"/>
    <row r="3065" ht="14.4" customHeight="1" s="88"/>
    <row r="3066" ht="14.4" customHeight="1" s="88"/>
    <row r="3067" ht="14.4" customHeight="1" s="88"/>
    <row r="3068" ht="14.4" customHeight="1" s="88"/>
    <row r="3069" ht="14.4" customHeight="1" s="88"/>
    <row r="3070" ht="14.4" customHeight="1" s="88"/>
    <row r="3071" ht="14.4" customHeight="1" s="88"/>
    <row r="3072" ht="14.4" customHeight="1" s="88"/>
    <row r="3073" ht="14.4" customHeight="1" s="88"/>
    <row r="3074" ht="14.4" customHeight="1" s="88"/>
    <row r="3075" ht="14.4" customHeight="1" s="88"/>
    <row r="3076" ht="14.4" customHeight="1" s="88"/>
    <row r="3077" ht="14.4" customHeight="1" s="88"/>
    <row r="3078" ht="14.4" customHeight="1" s="88"/>
    <row r="3079" ht="14.4" customHeight="1" s="88"/>
    <row r="3080" ht="14.4" customHeight="1" s="88"/>
    <row r="3081" ht="14.4" customHeight="1" s="88"/>
    <row r="3082" ht="14.4" customHeight="1" s="88"/>
    <row r="3083" ht="14.4" customHeight="1" s="88"/>
    <row r="3084" ht="14.4" customHeight="1" s="88"/>
    <row r="3085" ht="14.4" customHeight="1" s="88"/>
    <row r="3086" ht="14.4" customHeight="1" s="88"/>
    <row r="3087" ht="14.4" customHeight="1" s="88"/>
    <row r="3088" ht="14.4" customHeight="1" s="88"/>
    <row r="3089" ht="14.4" customHeight="1" s="88"/>
    <row r="3090" ht="14.4" customHeight="1" s="88"/>
    <row r="3091" ht="14.4" customHeight="1" s="88"/>
    <row r="3092" ht="14.4" customHeight="1" s="88"/>
    <row r="3093" ht="14.4" customHeight="1" s="88"/>
    <row r="3094" ht="14.4" customHeight="1" s="88"/>
    <row r="3095" ht="14.4" customHeight="1" s="88"/>
    <row r="3096" ht="14.4" customHeight="1" s="88"/>
    <row r="3097" ht="14.4" customHeight="1" s="88"/>
    <row r="3098" ht="14.4" customHeight="1" s="88"/>
    <row r="3099" ht="14.4" customHeight="1" s="88"/>
    <row r="3100" ht="14.4" customHeight="1" s="88"/>
    <row r="3101" ht="14.4" customHeight="1" s="88"/>
    <row r="3102" ht="14.4" customHeight="1" s="88"/>
    <row r="3103" ht="14.4" customHeight="1" s="88"/>
    <row r="3104" ht="14.4" customHeight="1" s="88"/>
    <row r="3105" ht="14.4" customHeight="1" s="88"/>
    <row r="3106" ht="14.4" customHeight="1" s="88"/>
    <row r="3107" ht="14.4" customHeight="1" s="88"/>
    <row r="3108" ht="14.4" customHeight="1" s="88"/>
    <row r="3109" ht="14.4" customHeight="1" s="88"/>
    <row r="3110" ht="14.4" customHeight="1" s="88"/>
    <row r="3111" ht="14.4" customHeight="1" s="88"/>
    <row r="3112" ht="14.4" customHeight="1" s="88"/>
    <row r="3113" ht="14.4" customHeight="1" s="88"/>
    <row r="3114" ht="14.4" customHeight="1" s="88"/>
    <row r="3115" ht="14.4" customHeight="1" s="88"/>
    <row r="3116" ht="14.4" customHeight="1" s="88"/>
    <row r="3117" ht="14.4" customHeight="1" s="88"/>
    <row r="3118" ht="14.4" customHeight="1" s="88"/>
    <row r="3119" ht="14.4" customHeight="1" s="88"/>
    <row r="3120" ht="14.4" customHeight="1" s="88"/>
    <row r="3121" ht="14.4" customHeight="1" s="88"/>
    <row r="3122" ht="14.4" customHeight="1" s="88"/>
    <row r="3123" ht="14.4" customHeight="1" s="88"/>
    <row r="3124" ht="14.4" customHeight="1" s="88"/>
    <row r="3125" ht="14.4" customHeight="1" s="88"/>
    <row r="3126" ht="14.4" customHeight="1" s="88"/>
    <row r="3127" ht="14.4" customHeight="1" s="88"/>
    <row r="3128" ht="14.4" customHeight="1" s="88"/>
    <row r="3129" ht="14.4" customHeight="1" s="88"/>
    <row r="3130" ht="14.4" customHeight="1" s="88"/>
    <row r="3131" ht="14.4" customHeight="1" s="88"/>
    <row r="3132" ht="14.4" customHeight="1" s="88"/>
    <row r="3133" ht="14.4" customHeight="1" s="88"/>
    <row r="3134" ht="14.4" customHeight="1" s="88"/>
    <row r="3135" ht="14.4" customHeight="1" s="88"/>
    <row r="3136" ht="14.4" customHeight="1" s="88"/>
    <row r="3137" ht="14.4" customHeight="1" s="88"/>
    <row r="3138" ht="14.4" customHeight="1" s="88"/>
    <row r="3139" ht="14.4" customHeight="1" s="88"/>
    <row r="3140" ht="14.4" customHeight="1" s="88"/>
    <row r="3141" ht="14.4" customHeight="1" s="88"/>
    <row r="3142" ht="14.4" customHeight="1" s="88"/>
    <row r="3143" ht="14.4" customHeight="1" s="88"/>
    <row r="3144" ht="14.4" customHeight="1" s="88"/>
    <row r="3145" ht="14.4" customHeight="1" s="88"/>
    <row r="3146" ht="14.4" customHeight="1" s="88"/>
    <row r="3147" ht="14.4" customHeight="1" s="88"/>
    <row r="3148" ht="14.4" customHeight="1" s="88"/>
    <row r="3149" ht="14.4" customHeight="1" s="88"/>
    <row r="3150" ht="14.4" customHeight="1" s="88"/>
    <row r="3151" ht="14.4" customHeight="1" s="88"/>
    <row r="3152" ht="14.4" customHeight="1" s="88"/>
    <row r="3153" ht="14.4" customHeight="1" s="88"/>
    <row r="3154" ht="14.4" customHeight="1" s="88"/>
    <row r="3155" ht="14.4" customHeight="1" s="88"/>
    <row r="3156" ht="14.4" customHeight="1" s="88"/>
    <row r="3157" ht="14.4" customHeight="1" s="88"/>
    <row r="3158" ht="14.4" customHeight="1" s="88"/>
    <row r="3159" ht="14.4" customHeight="1" s="88"/>
    <row r="3160" ht="14.4" customHeight="1" s="88"/>
    <row r="3161" ht="14.4" customHeight="1" s="88"/>
    <row r="3162" ht="14.4" customHeight="1" s="88"/>
    <row r="3163" ht="14.4" customHeight="1" s="88"/>
    <row r="3164" ht="14.4" customHeight="1" s="88"/>
    <row r="3165" ht="14.4" customHeight="1" s="88"/>
    <row r="3166" ht="14.4" customHeight="1" s="88"/>
    <row r="3167" ht="14.4" customHeight="1" s="88"/>
    <row r="3168" ht="14.4" customHeight="1" s="88"/>
    <row r="3169" ht="14.4" customHeight="1" s="88"/>
    <row r="3170" ht="14.4" customHeight="1" s="88"/>
    <row r="3171" ht="14.4" customHeight="1" s="88"/>
    <row r="3172" ht="14.4" customHeight="1" s="88"/>
    <row r="3173" ht="14.4" customHeight="1" s="88"/>
    <row r="3174" ht="14.4" customHeight="1" s="88"/>
    <row r="3175" ht="14.4" customHeight="1" s="88"/>
    <row r="3176" ht="14.4" customHeight="1" s="88"/>
    <row r="3177" ht="14.4" customHeight="1" s="88"/>
    <row r="3178" ht="14.4" customHeight="1" s="88"/>
    <row r="3179" ht="14.4" customHeight="1" s="88"/>
    <row r="3180" ht="14.4" customHeight="1" s="88"/>
    <row r="3181" ht="14.4" customHeight="1" s="88"/>
    <row r="3182" ht="14.4" customHeight="1" s="88"/>
    <row r="3183" ht="14.4" customHeight="1" s="88"/>
    <row r="3184" ht="14.4" customHeight="1" s="88"/>
    <row r="3185" ht="14.4" customHeight="1" s="88"/>
    <row r="3186" ht="14.4" customHeight="1" s="88"/>
    <row r="3187" ht="14.4" customHeight="1" s="88"/>
    <row r="3188" ht="14.4" customHeight="1" s="88"/>
    <row r="3189" ht="14.4" customHeight="1" s="88"/>
    <row r="3190" ht="14.4" customHeight="1" s="88"/>
    <row r="3191" ht="14.4" customHeight="1" s="88"/>
    <row r="3192" ht="14.4" customHeight="1" s="88"/>
    <row r="3193" ht="14.4" customHeight="1" s="88"/>
    <row r="3194" ht="14.4" customHeight="1" s="88"/>
    <row r="3195" ht="14.4" customHeight="1" s="88"/>
    <row r="3196" ht="14.4" customHeight="1" s="88"/>
    <row r="3197" ht="14.4" customHeight="1" s="88"/>
    <row r="3198" ht="14.4" customHeight="1" s="88"/>
    <row r="3199" ht="14.4" customHeight="1" s="88"/>
    <row r="3200" ht="14.4" customHeight="1" s="88"/>
    <row r="3201" ht="14.4" customHeight="1" s="88"/>
    <row r="3202" ht="14.4" customHeight="1" s="88"/>
    <row r="3203" ht="14.4" customHeight="1" s="88"/>
    <row r="3204" ht="14.4" customHeight="1" s="88"/>
    <row r="3205" ht="14.4" customHeight="1" s="88"/>
    <row r="3206" ht="14.4" customHeight="1" s="88"/>
    <row r="3207" ht="14.4" customHeight="1" s="88"/>
    <row r="3208" ht="14.4" customHeight="1" s="88"/>
    <row r="3209" ht="14.4" customHeight="1" s="88"/>
    <row r="3210" ht="14.4" customHeight="1" s="88"/>
    <row r="3211" ht="14.4" customHeight="1" s="88"/>
    <row r="3212" ht="14.4" customHeight="1" s="88"/>
    <row r="3213" ht="14.4" customHeight="1" s="88"/>
    <row r="3214" ht="14.4" customHeight="1" s="88"/>
    <row r="3215" ht="14.4" customHeight="1" s="88"/>
    <row r="3216" ht="14.4" customHeight="1" s="88"/>
    <row r="3217" ht="14.4" customHeight="1" s="88"/>
    <row r="3218" ht="14.4" customHeight="1" s="88"/>
    <row r="3219" ht="14.4" customHeight="1" s="88"/>
    <row r="3220" ht="14.4" customHeight="1" s="88"/>
    <row r="3221" ht="14.4" customHeight="1" s="88"/>
    <row r="3222" ht="14.4" customHeight="1" s="88"/>
    <row r="3223" ht="14.4" customHeight="1" s="88"/>
    <row r="3224" ht="14.4" customHeight="1" s="88"/>
    <row r="3225" ht="14.4" customHeight="1" s="88"/>
    <row r="3226" ht="14.4" customHeight="1" s="88"/>
    <row r="3227" ht="14.4" customHeight="1" s="88"/>
    <row r="3228" ht="14.4" customHeight="1" s="88"/>
    <row r="3229" ht="14.4" customHeight="1" s="88"/>
    <row r="3230" ht="14.4" customHeight="1" s="88"/>
    <row r="3231" ht="14.4" customHeight="1" s="88"/>
    <row r="3232" ht="14.4" customHeight="1" s="88"/>
    <row r="3233" ht="14.4" customHeight="1" s="88"/>
    <row r="3234" ht="14.4" customHeight="1" s="88"/>
    <row r="3235" ht="14.4" customHeight="1" s="88"/>
    <row r="3236" ht="14.4" customHeight="1" s="88"/>
    <row r="3237" ht="14.4" customHeight="1" s="88"/>
    <row r="3238" ht="14.4" customHeight="1" s="88"/>
    <row r="3239" ht="14.4" customHeight="1" s="88"/>
    <row r="3240" ht="14.4" customHeight="1" s="88"/>
    <row r="3241" ht="14.4" customHeight="1" s="88"/>
    <row r="3242" ht="14.4" customHeight="1" s="88"/>
    <row r="3243" ht="14.4" customHeight="1" s="88"/>
    <row r="3244" ht="14.4" customHeight="1" s="88"/>
    <row r="3245" ht="14.4" customHeight="1" s="88"/>
    <row r="3246" ht="14.4" customHeight="1" s="88"/>
    <row r="3247" ht="14.4" customHeight="1" s="88"/>
    <row r="3248" ht="14.4" customHeight="1" s="88"/>
    <row r="3249" ht="14.4" customHeight="1" s="88"/>
    <row r="3250" ht="14.4" customHeight="1" s="88"/>
    <row r="3251" ht="14.4" customHeight="1" s="88"/>
    <row r="3252" ht="14.4" customHeight="1" s="88"/>
    <row r="3253" ht="14.4" customHeight="1" s="88"/>
    <row r="3254" ht="14.4" customHeight="1" s="88"/>
    <row r="3255" ht="14.4" customHeight="1" s="88"/>
    <row r="3256" ht="14.4" customHeight="1" s="88"/>
    <row r="3257" ht="14.4" customHeight="1" s="88"/>
    <row r="3258" ht="14.4" customHeight="1" s="88"/>
    <row r="3259" ht="14.4" customHeight="1" s="88"/>
    <row r="3260" ht="14.4" customHeight="1" s="88"/>
    <row r="3261" ht="14.4" customHeight="1" s="88"/>
    <row r="3262" ht="14.4" customHeight="1" s="88"/>
    <row r="3263" ht="14.4" customHeight="1" s="88"/>
    <row r="3264" ht="14.4" customHeight="1" s="88"/>
    <row r="3265" ht="14.4" customHeight="1" s="88"/>
    <row r="3266" ht="14.4" customHeight="1" s="88"/>
    <row r="3267" ht="14.4" customHeight="1" s="88"/>
    <row r="3268" ht="14.4" customHeight="1" s="88"/>
    <row r="3269" ht="14.4" customHeight="1" s="88"/>
    <row r="3270" ht="14.4" customHeight="1" s="88"/>
    <row r="3271" ht="14.4" customHeight="1" s="88"/>
    <row r="3272" ht="14.4" customHeight="1" s="88"/>
    <row r="3273" ht="14.4" customHeight="1" s="88"/>
    <row r="3274" ht="14.4" customHeight="1" s="88"/>
    <row r="3275" ht="14.4" customHeight="1" s="88"/>
    <row r="3276" ht="14.4" customHeight="1" s="88"/>
    <row r="3277" ht="14.4" customHeight="1" s="88"/>
    <row r="3278" ht="14.4" customHeight="1" s="88"/>
    <row r="3279" ht="14.4" customHeight="1" s="88"/>
    <row r="3280" ht="14.4" customHeight="1" s="88"/>
    <row r="3281" ht="14.4" customHeight="1" s="88"/>
    <row r="3282" ht="14.4" customHeight="1" s="88"/>
    <row r="3283" ht="14.4" customHeight="1" s="88"/>
    <row r="3284" ht="14.4" customHeight="1" s="88"/>
    <row r="3285" ht="14.4" customHeight="1" s="88"/>
    <row r="3286" ht="14.4" customHeight="1" s="88"/>
    <row r="3287" ht="14.4" customHeight="1" s="88"/>
    <row r="3288" ht="14.4" customHeight="1" s="88"/>
    <row r="3289" ht="14.4" customHeight="1" s="88"/>
    <row r="3290" ht="14.4" customHeight="1" s="88"/>
    <row r="3291" ht="14.4" customHeight="1" s="88"/>
    <row r="3292" ht="14.4" customHeight="1" s="88"/>
    <row r="3293" ht="14.4" customHeight="1" s="88"/>
    <row r="3294" ht="14.4" customHeight="1" s="88"/>
    <row r="3295" ht="14.4" customHeight="1" s="88"/>
    <row r="3296" ht="14.4" customHeight="1" s="88"/>
    <row r="3297" ht="14.4" customHeight="1" s="88"/>
    <row r="3298" ht="14.4" customHeight="1" s="88"/>
    <row r="3299" ht="14.4" customHeight="1" s="88"/>
    <row r="3300" ht="14.4" customHeight="1" s="88"/>
    <row r="3301" ht="14.4" customHeight="1" s="88"/>
    <row r="3302" ht="14.4" customHeight="1" s="88"/>
    <row r="3303" ht="14.4" customHeight="1" s="88"/>
    <row r="3304" ht="14.4" customHeight="1" s="88"/>
    <row r="3305" ht="14.4" customHeight="1" s="88"/>
    <row r="3306" ht="14.4" customHeight="1" s="88"/>
    <row r="3307" ht="14.4" customHeight="1" s="88"/>
    <row r="3308" ht="14.4" customHeight="1" s="88"/>
    <row r="3309" ht="14.4" customHeight="1" s="88"/>
    <row r="3310" ht="14.4" customHeight="1" s="88"/>
    <row r="3311" ht="14.4" customHeight="1" s="88"/>
    <row r="3312" ht="14.4" customHeight="1" s="88"/>
    <row r="3313" ht="14.4" customHeight="1" s="88"/>
    <row r="3314" ht="14.4" customHeight="1" s="88"/>
    <row r="3315" ht="14.4" customHeight="1" s="88"/>
    <row r="3316" ht="14.4" customHeight="1" s="88"/>
    <row r="3317" ht="14.4" customHeight="1" s="88"/>
    <row r="3318" ht="14.4" customHeight="1" s="88"/>
    <row r="3319" ht="14.4" customHeight="1" s="88"/>
    <row r="3320" ht="14.4" customHeight="1" s="88"/>
    <row r="3321" ht="14.4" customHeight="1" s="88"/>
    <row r="3322" ht="14.4" customHeight="1" s="88"/>
    <row r="3323" ht="14.4" customHeight="1" s="88"/>
    <row r="3324" ht="14.4" customHeight="1" s="88"/>
    <row r="3325" ht="14.4" customHeight="1" s="88"/>
    <row r="3326" ht="14.4" customHeight="1" s="88"/>
    <row r="3327" ht="14.4" customHeight="1" s="88"/>
    <row r="3328" ht="14.4" customHeight="1" s="88"/>
    <row r="3329" ht="14.4" customHeight="1" s="88"/>
    <row r="3330" ht="14.4" customHeight="1" s="88"/>
    <row r="3331" ht="14.4" customHeight="1" s="88"/>
    <row r="3332" ht="14.4" customHeight="1" s="88"/>
    <row r="3333" ht="14.4" customHeight="1" s="88"/>
    <row r="3334" ht="14.4" customHeight="1" s="88"/>
    <row r="3335" ht="14.4" customHeight="1" s="88"/>
    <row r="3336" ht="14.4" customHeight="1" s="88"/>
    <row r="3337" ht="14.4" customHeight="1" s="88"/>
    <row r="3338" ht="14.4" customHeight="1" s="88"/>
    <row r="3339" ht="14.4" customHeight="1" s="88"/>
    <row r="3340" ht="14.4" customHeight="1" s="88"/>
    <row r="3341" ht="14.4" customHeight="1" s="88"/>
    <row r="3342" ht="14.4" customHeight="1" s="88"/>
    <row r="3343" ht="14.4" customHeight="1" s="88"/>
    <row r="3344" ht="14.4" customHeight="1" s="88"/>
    <row r="3345" ht="14.4" customHeight="1" s="88"/>
    <row r="3346" ht="14.4" customHeight="1" s="88"/>
    <row r="3347" ht="14.4" customHeight="1" s="88"/>
    <row r="3348" ht="14.4" customHeight="1" s="88"/>
    <row r="3349" ht="14.4" customHeight="1" s="88"/>
    <row r="3350" ht="14.4" customHeight="1" s="88"/>
    <row r="3351" ht="14.4" customHeight="1" s="88"/>
    <row r="3352" ht="14.4" customHeight="1" s="88"/>
    <row r="3353" ht="14.4" customHeight="1" s="88"/>
    <row r="3354" ht="14.4" customHeight="1" s="88"/>
    <row r="3355" ht="14.4" customHeight="1" s="88"/>
    <row r="3356" ht="14.4" customHeight="1" s="88"/>
    <row r="3357" ht="14.4" customHeight="1" s="88"/>
    <row r="3358" ht="14.4" customHeight="1" s="88"/>
    <row r="3359" ht="14.4" customHeight="1" s="88"/>
    <row r="3360" ht="14.4" customHeight="1" s="88"/>
    <row r="3361" ht="14.4" customHeight="1" s="88"/>
    <row r="3362" ht="14.4" customHeight="1" s="88"/>
    <row r="3363" ht="14.4" customHeight="1" s="88"/>
    <row r="3364" ht="14.4" customHeight="1" s="88"/>
    <row r="3365" ht="14.4" customHeight="1" s="88"/>
    <row r="3366" ht="14.4" customHeight="1" s="88"/>
    <row r="3367" ht="14.4" customHeight="1" s="88"/>
    <row r="3368" ht="14.4" customHeight="1" s="88"/>
    <row r="3369" ht="14.4" customHeight="1" s="88"/>
    <row r="3370" ht="14.4" customHeight="1" s="88"/>
    <row r="3371" ht="14.4" customHeight="1" s="88"/>
    <row r="3372" ht="14.4" customHeight="1" s="88"/>
    <row r="3373" ht="14.4" customHeight="1" s="88"/>
    <row r="3374" ht="14.4" customHeight="1" s="88"/>
    <row r="3375" ht="14.4" customHeight="1" s="88"/>
    <row r="3376" ht="14.4" customHeight="1" s="88"/>
    <row r="3377" ht="14.4" customHeight="1" s="88"/>
    <row r="3378" ht="14.4" customHeight="1" s="88"/>
    <row r="3379" ht="14.4" customHeight="1" s="88"/>
    <row r="3380" ht="14.4" customHeight="1" s="88"/>
    <row r="3381" ht="14.4" customHeight="1" s="88"/>
    <row r="3382" ht="14.4" customHeight="1" s="88"/>
    <row r="3383" ht="14.4" customHeight="1" s="88"/>
    <row r="3384" ht="14.4" customHeight="1" s="88"/>
    <row r="3385" ht="14.4" customHeight="1" s="88"/>
    <row r="3386" ht="14.4" customHeight="1" s="88"/>
    <row r="3387" ht="14.4" customHeight="1" s="88"/>
    <row r="3388" ht="14.4" customHeight="1" s="88"/>
    <row r="3389" ht="14.4" customHeight="1" s="88"/>
    <row r="3390" ht="14.4" customHeight="1" s="88"/>
    <row r="3391" ht="14.4" customHeight="1" s="88"/>
    <row r="3392" ht="14.4" customHeight="1" s="88"/>
    <row r="3393" ht="14.4" customHeight="1" s="88"/>
    <row r="3394" ht="14.4" customHeight="1" s="88"/>
    <row r="3395" ht="14.4" customHeight="1" s="88"/>
    <row r="3396" ht="14.4" customHeight="1" s="88"/>
    <row r="3397" ht="14.4" customHeight="1" s="88"/>
    <row r="3398" ht="14.4" customHeight="1" s="88"/>
    <row r="3399" ht="14.4" customHeight="1" s="88"/>
    <row r="3400" ht="14.4" customHeight="1" s="88"/>
    <row r="3401" ht="14.4" customHeight="1" s="88"/>
    <row r="3402" ht="14.4" customHeight="1" s="88"/>
    <row r="3403" ht="14.4" customHeight="1" s="88"/>
    <row r="3404" ht="14.4" customHeight="1" s="88"/>
    <row r="3405" ht="14.4" customHeight="1" s="88"/>
    <row r="3406" ht="14.4" customHeight="1" s="88"/>
    <row r="3407" ht="14.4" customHeight="1" s="88"/>
    <row r="3408" ht="14.4" customHeight="1" s="88"/>
    <row r="3409" ht="14.4" customHeight="1" s="88"/>
    <row r="3410" ht="14.4" customHeight="1" s="88"/>
    <row r="3411" ht="14.4" customHeight="1" s="88"/>
    <row r="3412" ht="14.4" customHeight="1" s="88"/>
    <row r="3413" ht="14.4" customHeight="1" s="88"/>
    <row r="3414" ht="14.4" customHeight="1" s="88"/>
    <row r="3415" ht="14.4" customHeight="1" s="88"/>
    <row r="3416" ht="14.4" customHeight="1" s="88"/>
    <row r="3417" ht="14.4" customHeight="1" s="88"/>
    <row r="3418" ht="14.4" customHeight="1" s="88"/>
    <row r="3419" ht="14.4" customHeight="1" s="88"/>
    <row r="3420" ht="14.4" customHeight="1" s="88"/>
    <row r="3421" ht="14.4" customHeight="1" s="88"/>
    <row r="3422" ht="14.4" customHeight="1" s="88"/>
    <row r="3423" ht="14.4" customHeight="1" s="88"/>
    <row r="3424" ht="14.4" customHeight="1" s="88"/>
    <row r="3425" ht="14.4" customHeight="1" s="88"/>
    <row r="3426" ht="14.4" customHeight="1" s="88"/>
    <row r="3427" ht="14.4" customHeight="1" s="88"/>
    <row r="3428" ht="14.4" customHeight="1" s="88"/>
    <row r="3429" ht="14.4" customHeight="1" s="88"/>
    <row r="3430" ht="14.4" customHeight="1" s="88"/>
    <row r="3431" ht="14.4" customHeight="1" s="88"/>
    <row r="3432" ht="14.4" customHeight="1" s="88"/>
    <row r="3433" ht="14.4" customHeight="1" s="88"/>
    <row r="3434" ht="14.4" customHeight="1" s="88"/>
    <row r="3435" ht="14.4" customHeight="1" s="88"/>
    <row r="3436" ht="14.4" customHeight="1" s="88"/>
    <row r="3437" ht="14.4" customHeight="1" s="88"/>
    <row r="3438" ht="14.4" customHeight="1" s="88"/>
    <row r="3439" ht="14.4" customHeight="1" s="88"/>
    <row r="3440" ht="14.4" customHeight="1" s="88"/>
    <row r="3441" ht="14.4" customHeight="1" s="88"/>
    <row r="3442" ht="14.4" customHeight="1" s="88"/>
    <row r="3443" ht="14.4" customHeight="1" s="88"/>
    <row r="3444" ht="14.4" customHeight="1" s="88"/>
    <row r="3445" ht="14.4" customHeight="1" s="88"/>
    <row r="3446" ht="14.4" customHeight="1" s="88"/>
    <row r="3447" ht="14.4" customHeight="1" s="88"/>
    <row r="3448" ht="14.4" customHeight="1" s="88"/>
    <row r="3449" ht="14.4" customHeight="1" s="88"/>
    <row r="3450" ht="14.4" customHeight="1" s="88"/>
    <row r="3451" ht="14.4" customHeight="1" s="88"/>
    <row r="3452" ht="14.4" customHeight="1" s="88"/>
    <row r="3453" ht="14.4" customHeight="1" s="88"/>
    <row r="3454" ht="14.4" customHeight="1" s="88"/>
    <row r="3455" ht="14.4" customHeight="1" s="88"/>
    <row r="3456" ht="14.4" customHeight="1" s="88"/>
    <row r="3457" ht="14.4" customHeight="1" s="88"/>
    <row r="3458" ht="14.4" customHeight="1" s="88"/>
    <row r="3459" ht="14.4" customHeight="1" s="88"/>
    <row r="3460" ht="14.4" customHeight="1" s="88"/>
    <row r="3461" ht="14.4" customHeight="1" s="88"/>
    <row r="3462" ht="14.4" customHeight="1" s="88"/>
    <row r="3463" ht="14.4" customHeight="1" s="88"/>
    <row r="3464" ht="14.4" customHeight="1" s="88"/>
    <row r="3465" ht="14.4" customHeight="1" s="88"/>
    <row r="3466" ht="14.4" customHeight="1" s="88"/>
    <row r="3467" ht="14.4" customHeight="1" s="88"/>
    <row r="3468" ht="14.4" customHeight="1" s="88"/>
    <row r="3469" ht="14.4" customHeight="1" s="88"/>
    <row r="3470" ht="14.4" customHeight="1" s="88"/>
    <row r="3471" ht="14.4" customHeight="1" s="88"/>
    <row r="3472" ht="14.4" customHeight="1" s="88"/>
    <row r="3473" ht="14.4" customHeight="1" s="88"/>
    <row r="3474" ht="14.4" customHeight="1" s="88"/>
    <row r="3475" ht="14.4" customHeight="1" s="88"/>
    <row r="3476" ht="14.4" customHeight="1" s="88"/>
    <row r="3477" ht="14.4" customHeight="1" s="88"/>
    <row r="3478" ht="14.4" customHeight="1" s="88"/>
    <row r="3479" ht="14.4" customHeight="1" s="88"/>
    <row r="3480" ht="14.4" customHeight="1" s="88"/>
    <row r="3481" ht="14.4" customHeight="1" s="88"/>
    <row r="3482" ht="14.4" customHeight="1" s="88"/>
    <row r="3483" ht="14.4" customHeight="1" s="88"/>
    <row r="3484" ht="14.4" customHeight="1" s="88"/>
    <row r="3485" ht="14.4" customHeight="1" s="88"/>
    <row r="3486" ht="14.4" customHeight="1" s="88"/>
    <row r="3487" ht="14.4" customHeight="1" s="88"/>
    <row r="3488" ht="14.4" customHeight="1" s="88"/>
    <row r="3489" ht="14.4" customHeight="1" s="88"/>
    <row r="3490" ht="14.4" customHeight="1" s="88"/>
    <row r="3491" ht="14.4" customHeight="1" s="88"/>
    <row r="3492" ht="14.4" customHeight="1" s="88"/>
    <row r="3493" ht="14.4" customHeight="1" s="88"/>
    <row r="3494" ht="14.4" customHeight="1" s="88"/>
    <row r="3495" ht="14.4" customHeight="1" s="88"/>
    <row r="3496" ht="14.4" customHeight="1" s="88"/>
    <row r="3497" ht="14.4" customHeight="1" s="88"/>
    <row r="3498" ht="14.4" customHeight="1" s="88"/>
    <row r="3499" ht="14.4" customHeight="1" s="88"/>
    <row r="3500" ht="14.4" customHeight="1" s="88"/>
    <row r="3501" ht="14.4" customHeight="1" s="88"/>
    <row r="3502" ht="14.4" customHeight="1" s="88"/>
    <row r="3503" ht="14.4" customHeight="1" s="88"/>
    <row r="3504" ht="14.4" customHeight="1" s="88"/>
    <row r="3505" ht="14.4" customHeight="1" s="88"/>
    <row r="3506" ht="14.4" customHeight="1" s="88"/>
    <row r="3507" ht="14.4" customHeight="1" s="88"/>
    <row r="3508" ht="14.4" customHeight="1" s="88"/>
    <row r="3509" ht="14.4" customHeight="1" s="88"/>
    <row r="3510" ht="14.4" customHeight="1" s="88"/>
    <row r="3511" ht="14.4" customHeight="1" s="88"/>
    <row r="3512" ht="14.4" customHeight="1" s="88"/>
    <row r="3513" ht="14.4" customHeight="1" s="88"/>
    <row r="3514" ht="14.4" customHeight="1" s="88"/>
    <row r="3515" ht="14.4" customHeight="1" s="88"/>
    <row r="3516" ht="14.4" customHeight="1" s="88"/>
    <row r="3517" ht="14.4" customHeight="1" s="88"/>
    <row r="3518" ht="14.4" customHeight="1" s="88"/>
    <row r="3519" ht="14.4" customHeight="1" s="88"/>
    <row r="3520" ht="14.4" customHeight="1" s="88"/>
    <row r="3521" ht="14.4" customHeight="1" s="88"/>
    <row r="3522" ht="14.4" customHeight="1" s="88"/>
    <row r="3523" ht="14.4" customHeight="1" s="88"/>
    <row r="3524" ht="14.4" customHeight="1" s="88"/>
    <row r="3525" ht="14.4" customHeight="1" s="88"/>
    <row r="3526" ht="14.4" customHeight="1" s="88"/>
    <row r="3527" ht="14.4" customHeight="1" s="88"/>
    <row r="3528" ht="14.4" customHeight="1" s="88"/>
    <row r="3529" ht="14.4" customHeight="1" s="88"/>
    <row r="3530" ht="14.4" customHeight="1" s="88"/>
    <row r="3531" ht="14.4" customHeight="1" s="88"/>
    <row r="3532" ht="14.4" customHeight="1" s="88"/>
    <row r="3533" ht="14.4" customHeight="1" s="88"/>
    <row r="3534" ht="14.4" customHeight="1" s="88"/>
    <row r="3535" ht="14.4" customHeight="1" s="88"/>
    <row r="3536" ht="14.4" customHeight="1" s="88"/>
    <row r="3537" ht="14.4" customHeight="1" s="88"/>
    <row r="3538" ht="14.4" customHeight="1" s="88"/>
    <row r="3539" ht="14.4" customHeight="1" s="88"/>
    <row r="3540" ht="14.4" customHeight="1" s="88"/>
    <row r="3541" ht="14.4" customHeight="1" s="88"/>
    <row r="3542" ht="14.4" customHeight="1" s="88"/>
    <row r="3543" ht="14.4" customHeight="1" s="88"/>
    <row r="3544" ht="14.4" customHeight="1" s="88"/>
    <row r="3545" ht="14.4" customHeight="1" s="88"/>
    <row r="3546" ht="14.4" customHeight="1" s="88"/>
    <row r="3547" ht="14.4" customHeight="1" s="88"/>
    <row r="3548" ht="14.4" customHeight="1" s="88"/>
    <row r="3549" ht="14.4" customHeight="1" s="88"/>
    <row r="3550" ht="14.4" customHeight="1" s="88"/>
    <row r="3551" ht="14.4" customHeight="1" s="88"/>
    <row r="3552" ht="14.4" customHeight="1" s="88"/>
    <row r="3553" ht="14.4" customHeight="1" s="88"/>
    <row r="3554" ht="14.4" customHeight="1" s="88"/>
    <row r="3555" ht="14.4" customHeight="1" s="88"/>
    <row r="3556" ht="14.4" customHeight="1" s="88"/>
    <row r="3557" ht="14.4" customHeight="1" s="88"/>
    <row r="3558" ht="14.4" customHeight="1" s="88"/>
    <row r="3559" ht="14.4" customHeight="1" s="88"/>
    <row r="3560" ht="14.4" customHeight="1" s="88"/>
    <row r="3561" ht="14.4" customHeight="1" s="88"/>
    <row r="3562" ht="14.4" customHeight="1" s="88"/>
    <row r="3563" ht="14.4" customHeight="1" s="88"/>
    <row r="3564" ht="14.4" customHeight="1" s="88"/>
    <row r="3565" ht="14.4" customHeight="1" s="88"/>
    <row r="3566" ht="14.4" customHeight="1" s="88"/>
    <row r="3567" ht="14.4" customHeight="1" s="88"/>
    <row r="3568" ht="14.4" customHeight="1" s="88"/>
    <row r="3569" ht="14.4" customHeight="1" s="88"/>
    <row r="3570" ht="14.4" customHeight="1" s="88"/>
    <row r="3571" ht="14.4" customHeight="1" s="88"/>
    <row r="3572" ht="14.4" customHeight="1" s="88"/>
    <row r="3573" ht="14.4" customHeight="1" s="88"/>
    <row r="3574" ht="14.4" customHeight="1" s="88"/>
    <row r="3575" ht="14.4" customHeight="1" s="88"/>
    <row r="3576" ht="14.4" customHeight="1" s="88"/>
    <row r="3577" ht="14.4" customHeight="1" s="88"/>
    <row r="3578" ht="14.4" customHeight="1" s="88"/>
    <row r="3579" ht="14.4" customHeight="1" s="88"/>
    <row r="3580" ht="14.4" customHeight="1" s="88"/>
    <row r="3581" ht="14.4" customHeight="1" s="88"/>
    <row r="3582" ht="14.4" customHeight="1" s="88"/>
    <row r="3583" ht="14.4" customHeight="1" s="88"/>
    <row r="3584" ht="14.4" customHeight="1" s="88"/>
    <row r="3585" ht="14.4" customHeight="1" s="88"/>
    <row r="3586" ht="14.4" customHeight="1" s="88"/>
    <row r="3587" ht="14.4" customHeight="1" s="88"/>
    <row r="3588" ht="14.4" customHeight="1" s="88"/>
    <row r="3589" ht="14.4" customHeight="1" s="88"/>
    <row r="3590" ht="14.4" customHeight="1" s="88"/>
    <row r="3591" ht="14.4" customHeight="1" s="88"/>
    <row r="3592" ht="14.4" customHeight="1" s="88"/>
    <row r="3593" ht="14.4" customHeight="1" s="88"/>
    <row r="3594" ht="14.4" customHeight="1" s="88"/>
    <row r="3595" ht="14.4" customHeight="1" s="88"/>
    <row r="3596" ht="14.4" customHeight="1" s="88"/>
    <row r="3597" ht="14.4" customHeight="1" s="88"/>
    <row r="3598" ht="14.4" customHeight="1" s="88"/>
    <row r="3599" ht="14.4" customHeight="1" s="88"/>
    <row r="3600" ht="14.4" customHeight="1" s="88"/>
    <row r="3601" ht="14.4" customHeight="1" s="88"/>
    <row r="3602" ht="14.4" customHeight="1" s="88"/>
    <row r="3603" ht="14.4" customHeight="1" s="88"/>
    <row r="3604" ht="14.4" customHeight="1" s="88"/>
    <row r="3605" ht="14.4" customHeight="1" s="88"/>
    <row r="3606" ht="14.4" customHeight="1" s="88"/>
    <row r="3607" ht="14.4" customHeight="1" s="88"/>
    <row r="3608" ht="14.4" customHeight="1" s="88"/>
    <row r="3609" ht="14.4" customHeight="1" s="88"/>
    <row r="3610" ht="14.4" customHeight="1" s="88"/>
    <row r="3611" ht="14.4" customHeight="1" s="88"/>
    <row r="3612" ht="14.4" customHeight="1" s="88"/>
    <row r="3613" ht="14.4" customHeight="1" s="88"/>
    <row r="3614" ht="14.4" customHeight="1" s="88"/>
    <row r="3615" ht="14.4" customHeight="1" s="88"/>
    <row r="3616" ht="14.4" customHeight="1" s="88"/>
    <row r="3617" ht="14.4" customHeight="1" s="88"/>
    <row r="3618" ht="14.4" customHeight="1" s="88"/>
    <row r="3619" ht="14.4" customHeight="1" s="88"/>
    <row r="3620" ht="14.4" customHeight="1" s="88"/>
    <row r="3621" ht="14.4" customHeight="1" s="88"/>
    <row r="3622" ht="14.4" customHeight="1" s="88"/>
    <row r="3623" ht="14.4" customHeight="1" s="88"/>
    <row r="3624" ht="14.4" customHeight="1" s="88"/>
    <row r="3625" ht="14.4" customHeight="1" s="88"/>
    <row r="3626" ht="14.4" customHeight="1" s="88"/>
    <row r="3627" ht="14.4" customHeight="1" s="88"/>
    <row r="3628" ht="14.4" customHeight="1" s="88"/>
    <row r="3629" ht="14.4" customHeight="1" s="88"/>
    <row r="3630" ht="14.4" customHeight="1" s="88"/>
    <row r="3631" ht="14.4" customHeight="1" s="88"/>
    <row r="3632" ht="14.4" customHeight="1" s="88"/>
    <row r="3633" ht="14.4" customHeight="1" s="88"/>
    <row r="3634" ht="14.4" customHeight="1" s="88"/>
    <row r="3635" ht="14.4" customHeight="1" s="88"/>
    <row r="3636" ht="14.4" customHeight="1" s="88"/>
    <row r="3637" ht="14.4" customHeight="1" s="88"/>
    <row r="3638" ht="14.4" customHeight="1" s="88"/>
    <row r="3639" ht="14.4" customHeight="1" s="88"/>
    <row r="3640" ht="14.4" customHeight="1" s="88"/>
    <row r="3641" ht="14.4" customHeight="1" s="88"/>
    <row r="3642" ht="14.4" customHeight="1" s="88"/>
    <row r="3643" ht="14.4" customHeight="1" s="88"/>
    <row r="3644" ht="14.4" customHeight="1" s="88"/>
    <row r="3645" ht="14.4" customHeight="1" s="88"/>
    <row r="3646" ht="14.4" customHeight="1" s="88"/>
    <row r="3647" ht="14.4" customHeight="1" s="88"/>
    <row r="3648" ht="14.4" customHeight="1" s="88"/>
    <row r="3649" ht="14.4" customHeight="1" s="88"/>
    <row r="3650" ht="14.4" customHeight="1" s="88"/>
    <row r="3651" ht="14.4" customHeight="1" s="88"/>
    <row r="3652" ht="14.4" customHeight="1" s="88"/>
    <row r="3653" ht="14.4" customHeight="1" s="88"/>
    <row r="3654" ht="14.4" customHeight="1" s="88"/>
    <row r="3655" ht="14.4" customHeight="1" s="88"/>
    <row r="3656" ht="14.4" customHeight="1" s="88"/>
    <row r="3657" ht="14.4" customHeight="1" s="88"/>
    <row r="3658" ht="14.4" customHeight="1" s="88"/>
    <row r="3659" ht="14.4" customHeight="1" s="88"/>
    <row r="3660" ht="14.4" customHeight="1" s="88"/>
    <row r="3661" ht="14.4" customHeight="1" s="88"/>
    <row r="3662" ht="14.4" customHeight="1" s="88"/>
    <row r="3663" ht="14.4" customHeight="1" s="88"/>
    <row r="3664" ht="14.4" customHeight="1" s="88"/>
    <row r="3665" ht="14.4" customHeight="1" s="88"/>
    <row r="3666" ht="14.4" customHeight="1" s="88"/>
    <row r="3667" ht="14.4" customHeight="1" s="88"/>
    <row r="3668" ht="14.4" customHeight="1" s="88"/>
    <row r="3669" ht="14.4" customHeight="1" s="88"/>
    <row r="3670" ht="14.4" customHeight="1" s="88"/>
    <row r="3671" ht="14.4" customHeight="1" s="88"/>
    <row r="3672" ht="14.4" customHeight="1" s="88"/>
    <row r="3673" ht="14.4" customHeight="1" s="88"/>
    <row r="3674" ht="14.4" customHeight="1" s="88"/>
    <row r="3675" ht="14.4" customHeight="1" s="88"/>
    <row r="3676" ht="14.4" customHeight="1" s="88"/>
    <row r="3677" ht="14.4" customHeight="1" s="88"/>
    <row r="3678" ht="14.4" customHeight="1" s="88"/>
    <row r="3679" ht="14.4" customHeight="1" s="88"/>
    <row r="3680" ht="14.4" customHeight="1" s="88"/>
    <row r="3681" ht="14.4" customHeight="1" s="88"/>
    <row r="3682" ht="14.4" customHeight="1" s="88"/>
    <row r="3683" ht="14.4" customHeight="1" s="88"/>
    <row r="3684" ht="14.4" customHeight="1" s="88"/>
    <row r="3685" ht="14.4" customHeight="1" s="88"/>
    <row r="3686" ht="14.4" customHeight="1" s="88"/>
    <row r="3687" ht="14.4" customHeight="1" s="88"/>
    <row r="3688" ht="14.4" customHeight="1" s="88"/>
    <row r="3689" ht="14.4" customHeight="1" s="88"/>
    <row r="3690" ht="14.4" customHeight="1" s="88"/>
    <row r="3691" ht="14.4" customHeight="1" s="88"/>
    <row r="3692" ht="14.4" customHeight="1" s="88"/>
    <row r="3693" ht="14.4" customHeight="1" s="88"/>
    <row r="3694" ht="14.4" customHeight="1" s="88"/>
    <row r="3695" ht="14.4" customHeight="1" s="88"/>
    <row r="3696" ht="14.4" customHeight="1" s="88"/>
    <row r="3697" ht="14.4" customHeight="1" s="88"/>
    <row r="3698" ht="14.4" customHeight="1" s="88"/>
    <row r="3699" ht="14.4" customHeight="1" s="88"/>
    <row r="3700" ht="14.4" customHeight="1" s="88"/>
    <row r="3701" ht="14.4" customHeight="1" s="88"/>
    <row r="3702" ht="14.4" customHeight="1" s="88"/>
    <row r="3703" ht="14.4" customHeight="1" s="88"/>
    <row r="3704" ht="14.4" customHeight="1" s="88"/>
    <row r="3705" ht="14.4" customHeight="1" s="88"/>
    <row r="3706" ht="14.4" customHeight="1" s="88"/>
    <row r="3707" ht="14.4" customHeight="1" s="88"/>
    <row r="3708" ht="14.4" customHeight="1" s="88"/>
    <row r="3709" ht="14.4" customHeight="1" s="88"/>
    <row r="3710" ht="14.4" customHeight="1" s="88"/>
    <row r="3711" ht="14.4" customHeight="1" s="88"/>
    <row r="3712" ht="14.4" customHeight="1" s="88"/>
    <row r="3713" ht="14.4" customHeight="1" s="88"/>
    <row r="3714" ht="14.4" customHeight="1" s="88"/>
    <row r="3715" ht="14.4" customHeight="1" s="88"/>
    <row r="3716" ht="14.4" customHeight="1" s="88"/>
    <row r="3717" ht="14.4" customHeight="1" s="88"/>
    <row r="3718" ht="14.4" customHeight="1" s="88"/>
    <row r="3719" ht="14.4" customHeight="1" s="88"/>
    <row r="3720" ht="14.4" customHeight="1" s="88"/>
    <row r="3721" ht="14.4" customHeight="1" s="88"/>
    <row r="3722" ht="14.4" customHeight="1" s="88"/>
    <row r="3723" ht="14.4" customHeight="1" s="88"/>
    <row r="3724" ht="14.4" customHeight="1" s="88"/>
    <row r="3725" ht="14.4" customHeight="1" s="88"/>
    <row r="3726" ht="14.4" customHeight="1" s="88"/>
    <row r="3727" ht="14.4" customHeight="1" s="88"/>
    <row r="3728" ht="14.4" customHeight="1" s="88"/>
    <row r="3729" ht="14.4" customHeight="1" s="88"/>
    <row r="3730" ht="14.4" customHeight="1" s="88"/>
    <row r="3731" ht="14.4" customHeight="1" s="88"/>
    <row r="3732" ht="14.4" customHeight="1" s="88"/>
    <row r="3733" ht="14.4" customHeight="1" s="88"/>
    <row r="3734" ht="14.4" customHeight="1" s="88"/>
    <row r="3735" ht="14.4" customHeight="1" s="88"/>
    <row r="3736" ht="14.4" customHeight="1" s="88"/>
    <row r="3737" ht="14.4" customHeight="1" s="88"/>
    <row r="3738" ht="14.4" customHeight="1" s="88"/>
    <row r="3739" ht="14.4" customHeight="1" s="88"/>
    <row r="3740" ht="14.4" customHeight="1" s="88"/>
    <row r="3741" ht="14.4" customHeight="1" s="88"/>
    <row r="3742" ht="14.4" customHeight="1" s="88"/>
    <row r="3743" ht="14.4" customHeight="1" s="88"/>
    <row r="3744" ht="14.4" customHeight="1" s="88"/>
    <row r="3745" ht="14.4" customHeight="1" s="88"/>
    <row r="3746" ht="14.4" customHeight="1" s="88"/>
    <row r="3747" ht="14.4" customHeight="1" s="88"/>
    <row r="3748" ht="14.4" customHeight="1" s="88"/>
    <row r="3749" ht="14.4" customHeight="1" s="88"/>
    <row r="3750" ht="14.4" customHeight="1" s="88"/>
    <row r="3751" ht="14.4" customHeight="1" s="88"/>
    <row r="3752" ht="14.4" customHeight="1" s="88"/>
    <row r="3753" ht="14.4" customHeight="1" s="88"/>
    <row r="3754" ht="14.4" customHeight="1" s="88"/>
    <row r="3755" ht="14.4" customHeight="1" s="88"/>
    <row r="3756" ht="14.4" customHeight="1" s="88"/>
    <row r="3757" ht="14.4" customHeight="1" s="88"/>
    <row r="3758" ht="14.4" customHeight="1" s="88"/>
    <row r="3759" ht="14.4" customHeight="1" s="88"/>
    <row r="3760" ht="14.4" customHeight="1" s="88"/>
    <row r="3761" ht="14.4" customHeight="1" s="88"/>
    <row r="3762" ht="14.4" customHeight="1" s="88"/>
    <row r="3763" ht="14.4" customHeight="1" s="88"/>
    <row r="3764" ht="14.4" customHeight="1" s="88"/>
    <row r="3765" ht="14.4" customHeight="1" s="88"/>
    <row r="3766" ht="14.4" customHeight="1" s="88"/>
    <row r="3767" ht="14.4" customHeight="1" s="88"/>
    <row r="3768" ht="14.4" customHeight="1" s="88"/>
    <row r="3769" ht="14.4" customHeight="1" s="88"/>
    <row r="3770" ht="14.4" customHeight="1" s="88"/>
    <row r="3771" ht="14.4" customHeight="1" s="88"/>
    <row r="3772" ht="14.4" customHeight="1" s="88"/>
    <row r="3773" ht="14.4" customHeight="1" s="88"/>
    <row r="3774" ht="14.4" customHeight="1" s="88"/>
    <row r="3775" ht="14.4" customHeight="1" s="88"/>
    <row r="3776" ht="14.4" customHeight="1" s="88"/>
    <row r="3777" ht="14.4" customHeight="1" s="88"/>
    <row r="3778" ht="14.4" customHeight="1" s="88"/>
    <row r="3779" ht="14.4" customHeight="1" s="88"/>
    <row r="3780" ht="14.4" customHeight="1" s="88"/>
    <row r="3781" ht="14.4" customHeight="1" s="88"/>
    <row r="3782" ht="14.4" customHeight="1" s="88"/>
    <row r="3783" ht="14.4" customHeight="1" s="88"/>
    <row r="3784" ht="14.4" customHeight="1" s="88"/>
    <row r="3785" ht="14.4" customHeight="1" s="88"/>
    <row r="3786" ht="14.4" customHeight="1" s="88"/>
    <row r="3787" ht="14.4" customHeight="1" s="88"/>
    <row r="3788" ht="14.4" customHeight="1" s="88"/>
    <row r="3789" ht="14.4" customHeight="1" s="88"/>
    <row r="3790" ht="14.4" customHeight="1" s="88"/>
    <row r="3791" ht="14.4" customHeight="1" s="88"/>
    <row r="3792" ht="14.4" customHeight="1" s="88"/>
    <row r="3793" ht="14.4" customHeight="1" s="88"/>
    <row r="3794" ht="14.4" customHeight="1" s="88"/>
    <row r="3795" ht="14.4" customHeight="1" s="88"/>
    <row r="3796" ht="14.4" customHeight="1" s="88"/>
    <row r="3797" ht="14.4" customHeight="1" s="88"/>
    <row r="3798" ht="14.4" customHeight="1" s="88"/>
    <row r="3799" ht="14.4" customHeight="1" s="88"/>
    <row r="3800" ht="14.4" customHeight="1" s="88"/>
    <row r="3801" ht="14.4" customHeight="1" s="88"/>
    <row r="3802" ht="14.4" customHeight="1" s="88"/>
    <row r="3803" ht="14.4" customHeight="1" s="88"/>
    <row r="3804" ht="14.4" customHeight="1" s="88"/>
    <row r="3805" ht="14.4" customHeight="1" s="88"/>
    <row r="3806" ht="14.4" customHeight="1" s="88"/>
    <row r="3807" ht="14.4" customHeight="1" s="88"/>
    <row r="3808" ht="14.4" customHeight="1" s="88"/>
    <row r="3809" ht="14.4" customHeight="1" s="88"/>
    <row r="3810" ht="14.4" customHeight="1" s="88"/>
    <row r="3811" ht="14.4" customHeight="1" s="88"/>
    <row r="3812" ht="14.4" customHeight="1" s="88"/>
    <row r="3813" ht="14.4" customHeight="1" s="88"/>
    <row r="3814" ht="14.4" customHeight="1" s="88"/>
    <row r="3815" ht="14.4" customHeight="1" s="88"/>
    <row r="3816" ht="14.4" customHeight="1" s="88"/>
    <row r="3817" ht="14.4" customHeight="1" s="88"/>
    <row r="3818" ht="14.4" customHeight="1" s="88"/>
    <row r="3819" ht="14.4" customHeight="1" s="88"/>
    <row r="3820" ht="14.4" customHeight="1" s="88"/>
    <row r="3821" ht="14.4" customHeight="1" s="88"/>
    <row r="3822" ht="14.4" customHeight="1" s="88"/>
    <row r="3823" ht="14.4" customHeight="1" s="88"/>
    <row r="3824" ht="14.4" customHeight="1" s="88"/>
    <row r="3825" ht="14.4" customHeight="1" s="88"/>
    <row r="3826" ht="14.4" customHeight="1" s="88"/>
    <row r="3827" ht="14.4" customHeight="1" s="88"/>
    <row r="3828" ht="14.4" customHeight="1" s="88"/>
    <row r="3829" ht="14.4" customHeight="1" s="88"/>
    <row r="3830" ht="14.4" customHeight="1" s="88"/>
    <row r="3831" ht="14.4" customHeight="1" s="88"/>
    <row r="3832" ht="14.4" customHeight="1" s="88"/>
    <row r="3833" ht="14.4" customHeight="1" s="88"/>
    <row r="3834" ht="14.4" customHeight="1" s="88"/>
    <row r="3835" ht="14.4" customHeight="1" s="88"/>
    <row r="3836" ht="14.4" customHeight="1" s="88"/>
    <row r="3837" ht="14.4" customHeight="1" s="88"/>
    <row r="3838" ht="14.4" customHeight="1" s="88"/>
    <row r="3839" ht="14.4" customHeight="1" s="88"/>
    <row r="3840" ht="14.4" customHeight="1" s="88"/>
    <row r="3841" ht="14.4" customHeight="1" s="88"/>
    <row r="3842" ht="14.4" customHeight="1" s="88"/>
    <row r="3843" ht="14.4" customHeight="1" s="88"/>
    <row r="3844" ht="14.4" customHeight="1" s="88"/>
    <row r="3845" ht="14.4" customHeight="1" s="88"/>
    <row r="3846" ht="14.4" customHeight="1" s="88"/>
    <row r="3847" ht="14.4" customHeight="1" s="88"/>
    <row r="3848" ht="14.4" customHeight="1" s="88"/>
    <row r="3849" ht="14.4" customHeight="1" s="88"/>
    <row r="3850" ht="14.4" customHeight="1" s="88"/>
    <row r="3851" ht="14.4" customHeight="1" s="88"/>
    <row r="3852" ht="14.4" customHeight="1" s="88"/>
    <row r="3853" ht="14.4" customHeight="1" s="88"/>
    <row r="3854" ht="14.4" customHeight="1" s="88"/>
    <row r="3855" ht="14.4" customHeight="1" s="88"/>
    <row r="3856" ht="14.4" customHeight="1" s="88"/>
    <row r="3857" ht="14.4" customHeight="1" s="88"/>
    <row r="3858" ht="14.4" customHeight="1" s="88"/>
    <row r="3859" ht="14.4" customHeight="1" s="88"/>
    <row r="3860" ht="14.4" customHeight="1" s="88"/>
    <row r="3861" ht="14.4" customHeight="1" s="88"/>
    <row r="3862" ht="14.4" customHeight="1" s="88"/>
    <row r="3863" ht="14.4" customHeight="1" s="88"/>
    <row r="3864" ht="14.4" customHeight="1" s="88"/>
    <row r="3865" ht="14.4" customHeight="1" s="88"/>
    <row r="3866" ht="14.4" customHeight="1" s="88"/>
    <row r="3867" ht="14.4" customHeight="1" s="88"/>
    <row r="3868" ht="14.4" customHeight="1" s="88"/>
    <row r="3869" ht="14.4" customHeight="1" s="88"/>
    <row r="3870" ht="14.4" customHeight="1" s="88"/>
    <row r="3871" ht="14.4" customHeight="1" s="88"/>
    <row r="3872" ht="14.4" customHeight="1" s="88"/>
    <row r="3873" ht="14.4" customHeight="1" s="88"/>
    <row r="3874" ht="14.4" customHeight="1" s="88"/>
    <row r="3875" ht="14.4" customHeight="1" s="88"/>
    <row r="3876" ht="14.4" customHeight="1" s="88"/>
    <row r="3877" ht="14.4" customHeight="1" s="88"/>
    <row r="3878" ht="14.4" customHeight="1" s="88"/>
    <row r="3879" ht="14.4" customHeight="1" s="88"/>
    <row r="3880" ht="14.4" customHeight="1" s="88"/>
    <row r="3881" ht="14.4" customHeight="1" s="88"/>
    <row r="3882" ht="14.4" customHeight="1" s="88"/>
    <row r="3883" ht="14.4" customHeight="1" s="88"/>
    <row r="3884" ht="14.4" customHeight="1" s="88"/>
    <row r="3885" ht="14.4" customHeight="1" s="88"/>
    <row r="3886" ht="14.4" customHeight="1" s="88"/>
    <row r="3887" ht="14.4" customHeight="1" s="88"/>
    <row r="3888" ht="14.4" customHeight="1" s="88"/>
    <row r="3889" ht="14.4" customHeight="1" s="88"/>
    <row r="3890" ht="14.4" customHeight="1" s="88"/>
    <row r="3891" ht="14.4" customHeight="1" s="88"/>
    <row r="3892" ht="14.4" customHeight="1" s="88"/>
    <row r="3893" ht="14.4" customHeight="1" s="88"/>
    <row r="3894" ht="14.4" customHeight="1" s="88"/>
    <row r="3895" ht="14.4" customHeight="1" s="88"/>
    <row r="3896" ht="14.4" customHeight="1" s="88"/>
    <row r="3897" ht="14.4" customHeight="1" s="88"/>
    <row r="3898" ht="14.4" customHeight="1" s="88"/>
    <row r="3899" ht="14.4" customHeight="1" s="88"/>
    <row r="3900" ht="14.4" customHeight="1" s="88"/>
    <row r="3901" ht="14.4" customHeight="1" s="88"/>
    <row r="3902" ht="14.4" customHeight="1" s="88"/>
    <row r="3903" ht="14.4" customHeight="1" s="88"/>
    <row r="3904" ht="14.4" customHeight="1" s="88"/>
    <row r="3905" ht="14.4" customHeight="1" s="88"/>
    <row r="3906" ht="14.4" customHeight="1" s="88"/>
    <row r="3907" ht="14.4" customHeight="1" s="88"/>
    <row r="3908" ht="14.4" customHeight="1" s="88"/>
    <row r="3909" ht="14.4" customHeight="1" s="88"/>
    <row r="3910" ht="14.4" customHeight="1" s="88"/>
    <row r="3911" ht="14.4" customHeight="1" s="88"/>
    <row r="3912" ht="14.4" customHeight="1" s="88"/>
    <row r="3913" ht="14.4" customHeight="1" s="88"/>
    <row r="3914" ht="14.4" customHeight="1" s="88"/>
    <row r="3915" ht="14.4" customHeight="1" s="88"/>
    <row r="3916" ht="14.4" customHeight="1" s="88"/>
    <row r="3917" ht="14.4" customHeight="1" s="88"/>
    <row r="3918" ht="14.4" customHeight="1" s="88"/>
    <row r="3919" ht="14.4" customHeight="1" s="88"/>
    <row r="3920" ht="14.4" customHeight="1" s="88"/>
    <row r="3921" ht="14.4" customHeight="1" s="88"/>
    <row r="3922" ht="14.4" customHeight="1" s="88"/>
    <row r="3923" ht="14.4" customHeight="1" s="88"/>
    <row r="3924" ht="14.4" customHeight="1" s="88"/>
    <row r="3925" ht="14.4" customHeight="1" s="88"/>
    <row r="3926" ht="14.4" customHeight="1" s="88"/>
    <row r="3927" ht="14.4" customHeight="1" s="88"/>
    <row r="3928" ht="14.4" customHeight="1" s="88"/>
    <row r="3929" ht="14.4" customHeight="1" s="88"/>
    <row r="3930" ht="14.4" customHeight="1" s="88"/>
    <row r="3931" ht="14.4" customHeight="1" s="88"/>
    <row r="3932" ht="14.4" customHeight="1" s="88"/>
    <row r="3933" ht="14.4" customHeight="1" s="88"/>
    <row r="3934" ht="14.4" customHeight="1" s="88"/>
    <row r="3935" ht="14.4" customHeight="1" s="88"/>
    <row r="3936" ht="14.4" customHeight="1" s="88"/>
    <row r="3937" ht="14.4" customHeight="1" s="88"/>
    <row r="3938" ht="14.4" customHeight="1" s="88"/>
    <row r="3939" ht="14.4" customHeight="1" s="88"/>
    <row r="3940" ht="14.4" customHeight="1" s="88"/>
    <row r="3941" ht="14.4" customHeight="1" s="88"/>
    <row r="3942" ht="14.4" customHeight="1" s="88"/>
    <row r="3943" ht="14.4" customHeight="1" s="88"/>
    <row r="3944" ht="14.4" customHeight="1" s="88"/>
    <row r="3945" ht="14.4" customHeight="1" s="88"/>
    <row r="3946" ht="14.4" customHeight="1" s="88"/>
    <row r="3947" ht="14.4" customHeight="1" s="88"/>
    <row r="3948" ht="14.4" customHeight="1" s="88"/>
    <row r="3949" ht="14.4" customHeight="1" s="88"/>
    <row r="3950" ht="14.4" customHeight="1" s="88"/>
    <row r="3951" ht="14.4" customHeight="1" s="88"/>
    <row r="3952" ht="14.4" customHeight="1" s="88"/>
    <row r="3953" ht="14.4" customHeight="1" s="88"/>
    <row r="3954" ht="14.4" customHeight="1" s="88"/>
    <row r="3955" ht="14.4" customHeight="1" s="88"/>
    <row r="3956" ht="14.4" customHeight="1" s="88"/>
    <row r="3957" ht="14.4" customHeight="1" s="88"/>
    <row r="3958" ht="14.4" customHeight="1" s="88"/>
    <row r="3959" ht="14.4" customHeight="1" s="88"/>
    <row r="3960" ht="14.4" customHeight="1" s="88"/>
    <row r="3961" ht="14.4" customHeight="1" s="88"/>
    <row r="3962" ht="14.4" customHeight="1" s="88"/>
    <row r="3963" ht="14.4" customHeight="1" s="88"/>
    <row r="3964" ht="14.4" customHeight="1" s="88"/>
    <row r="3965" ht="14.4" customHeight="1" s="88"/>
    <row r="3966" ht="14.4" customHeight="1" s="88"/>
    <row r="3967" ht="14.4" customHeight="1" s="88"/>
    <row r="3968" ht="14.4" customHeight="1" s="88"/>
    <row r="3969" ht="14.4" customHeight="1" s="88"/>
    <row r="3970" ht="14.4" customHeight="1" s="88"/>
    <row r="3971" ht="14.4" customHeight="1" s="88"/>
    <row r="3972" ht="14.4" customHeight="1" s="88"/>
    <row r="3973" ht="14.4" customHeight="1" s="88"/>
    <row r="3974" ht="14.4" customHeight="1" s="88"/>
    <row r="3975" ht="14.4" customHeight="1" s="88"/>
    <row r="3976" ht="14.4" customHeight="1" s="88"/>
    <row r="3977" ht="14.4" customHeight="1" s="88"/>
    <row r="3978" ht="14.4" customHeight="1" s="88"/>
    <row r="3979" ht="14.4" customHeight="1" s="88"/>
    <row r="3980" ht="14.4" customHeight="1" s="88"/>
    <row r="3981" ht="14.4" customHeight="1" s="88"/>
    <row r="3982" ht="14.4" customHeight="1" s="88"/>
    <row r="3983" ht="14.4" customHeight="1" s="88"/>
    <row r="3984" ht="14.4" customHeight="1" s="88"/>
    <row r="3985" ht="14.4" customHeight="1" s="88"/>
    <row r="3986" ht="14.4" customHeight="1" s="88"/>
    <row r="3987" ht="14.4" customHeight="1" s="88"/>
    <row r="3988" ht="14.4" customHeight="1" s="88"/>
    <row r="3989" ht="14.4" customHeight="1" s="88"/>
    <row r="3990" ht="14.4" customHeight="1" s="88"/>
    <row r="3991" ht="14.4" customHeight="1" s="88"/>
    <row r="3992" ht="14.4" customHeight="1" s="88"/>
    <row r="3993" ht="14.4" customHeight="1" s="88"/>
    <row r="3994" ht="14.4" customHeight="1" s="88"/>
    <row r="3995" ht="14.4" customHeight="1" s="88"/>
    <row r="3996" ht="14.4" customHeight="1" s="88"/>
    <row r="3997" ht="14.4" customHeight="1" s="88"/>
    <row r="3998" ht="14.4" customHeight="1" s="88"/>
    <row r="3999" ht="14.4" customHeight="1" s="88"/>
    <row r="4000" ht="14.4" customHeight="1" s="88"/>
    <row r="4001" ht="14.4" customHeight="1" s="88"/>
    <row r="4002" ht="14.4" customHeight="1" s="88"/>
    <row r="4003" ht="14.4" customHeight="1" s="88"/>
    <row r="4004" ht="14.4" customHeight="1" s="88"/>
    <row r="4005" ht="14.4" customHeight="1" s="88"/>
    <row r="4006" ht="14.4" customHeight="1" s="88"/>
    <row r="4007" ht="14.4" customHeight="1" s="88"/>
    <row r="4008" ht="14.4" customHeight="1" s="88"/>
    <row r="4009" ht="14.4" customHeight="1" s="88"/>
    <row r="4010" ht="14.4" customHeight="1" s="88"/>
    <row r="4011" ht="14.4" customHeight="1" s="88"/>
    <row r="4012" ht="14.4" customHeight="1" s="88"/>
    <row r="4013" ht="14.4" customHeight="1" s="88"/>
    <row r="4014" ht="14.4" customHeight="1" s="88"/>
    <row r="4015" ht="14.4" customHeight="1" s="88"/>
    <row r="4016" ht="14.4" customHeight="1" s="88"/>
    <row r="4017" ht="14.4" customHeight="1" s="88"/>
    <row r="4018" ht="14.4" customHeight="1" s="88"/>
    <row r="4019" ht="14.4" customHeight="1" s="88"/>
    <row r="4020" ht="14.4" customHeight="1" s="88"/>
    <row r="4021" ht="14.4" customHeight="1" s="88"/>
    <row r="4022" ht="14.4" customHeight="1" s="88"/>
    <row r="4023" ht="14.4" customHeight="1" s="88"/>
    <row r="4024" ht="14.4" customHeight="1" s="88"/>
    <row r="4025" ht="14.4" customHeight="1" s="88"/>
    <row r="4026" ht="14.4" customHeight="1" s="88"/>
    <row r="4027" ht="14.4" customHeight="1" s="88"/>
    <row r="4028" ht="14.4" customHeight="1" s="88"/>
    <row r="4029" ht="14.4" customHeight="1" s="88"/>
    <row r="4030" ht="14.4" customHeight="1" s="88"/>
    <row r="4031" ht="14.4" customHeight="1" s="88"/>
    <row r="4032" ht="14.4" customHeight="1" s="88"/>
    <row r="4033" ht="14.4" customHeight="1" s="88"/>
    <row r="4034" ht="14.4" customHeight="1" s="88"/>
    <row r="4035" ht="14.4" customHeight="1" s="88"/>
    <row r="4036" ht="14.4" customHeight="1" s="88"/>
    <row r="4037" ht="14.4" customHeight="1" s="88"/>
    <row r="4038" ht="14.4" customHeight="1" s="88"/>
    <row r="4039" ht="14.4" customHeight="1" s="88"/>
    <row r="4040" ht="14.4" customHeight="1" s="88"/>
    <row r="4041" ht="14.4" customHeight="1" s="88"/>
    <row r="4042" ht="14.4" customHeight="1" s="88"/>
    <row r="4043" ht="14.4" customHeight="1" s="88"/>
    <row r="4044" ht="14.4" customHeight="1" s="88"/>
    <row r="4045" ht="14.4" customHeight="1" s="88"/>
    <row r="4046" ht="14.4" customHeight="1" s="88"/>
    <row r="4047" ht="14.4" customHeight="1" s="88"/>
    <row r="4048" ht="14.4" customHeight="1" s="88"/>
    <row r="4049" ht="14.4" customHeight="1" s="88"/>
    <row r="4050" ht="14.4" customHeight="1" s="88"/>
    <row r="4051" ht="14.4" customHeight="1" s="88"/>
    <row r="4052" ht="14.4" customHeight="1" s="88"/>
    <row r="4053" ht="14.4" customHeight="1" s="88"/>
    <row r="4054" ht="14.4" customHeight="1" s="88"/>
    <row r="4055" ht="14.4" customHeight="1" s="88"/>
    <row r="4056" ht="14.4" customHeight="1" s="88"/>
    <row r="4057" ht="14.4" customHeight="1" s="88"/>
    <row r="4058" ht="14.4" customHeight="1" s="88"/>
    <row r="4059" ht="14.4" customHeight="1" s="88"/>
    <row r="4060" ht="14.4" customHeight="1" s="88"/>
    <row r="4061" ht="14.4" customHeight="1" s="88"/>
    <row r="4062" ht="14.4" customHeight="1" s="88"/>
    <row r="4063" ht="14.4" customHeight="1" s="88"/>
    <row r="4064" ht="14.4" customHeight="1" s="88"/>
    <row r="4065" ht="14.4" customHeight="1" s="88"/>
    <row r="4066" ht="14.4" customHeight="1" s="88"/>
    <row r="4067" ht="14.4" customHeight="1" s="88"/>
    <row r="4068" ht="14.4" customHeight="1" s="88"/>
    <row r="4069" ht="14.4" customHeight="1" s="88"/>
    <row r="4070" ht="14.4" customHeight="1" s="88"/>
    <row r="4071" ht="14.4" customHeight="1" s="88"/>
    <row r="4072" ht="14.4" customHeight="1" s="88"/>
    <row r="4073" ht="14.4" customHeight="1" s="88"/>
    <row r="4074" ht="14.4" customHeight="1" s="88"/>
    <row r="4075" ht="14.4" customHeight="1" s="88"/>
    <row r="4076" ht="14.4" customHeight="1" s="88"/>
    <row r="4077" ht="14.4" customHeight="1" s="88"/>
    <row r="4078" ht="14.4" customHeight="1" s="88"/>
    <row r="4079" ht="14.4" customHeight="1" s="88"/>
    <row r="4080" ht="14.4" customHeight="1" s="88"/>
    <row r="4081" ht="14.4" customHeight="1" s="88"/>
    <row r="4082" ht="14.4" customHeight="1" s="88"/>
    <row r="4083" ht="14.4" customHeight="1" s="88"/>
    <row r="4084" ht="14.4" customHeight="1" s="88"/>
    <row r="4085" ht="14.4" customHeight="1" s="88"/>
    <row r="4086" ht="14.4" customHeight="1" s="88"/>
    <row r="4087" ht="14.4" customHeight="1" s="88"/>
    <row r="4088" ht="14.4" customHeight="1" s="88"/>
    <row r="4089" ht="14.4" customHeight="1" s="88"/>
    <row r="4090" ht="14.4" customHeight="1" s="88"/>
    <row r="4091" ht="14.4" customHeight="1" s="88"/>
    <row r="4092" ht="14.4" customHeight="1" s="88"/>
    <row r="4093" ht="14.4" customHeight="1" s="88"/>
    <row r="4094" ht="14.4" customHeight="1" s="88"/>
    <row r="4095" ht="14.4" customHeight="1" s="88"/>
    <row r="4096" ht="14.4" customHeight="1" s="88"/>
    <row r="4097" ht="14.4" customHeight="1" s="88"/>
    <row r="4098" ht="14.4" customHeight="1" s="88"/>
    <row r="4099" ht="14.4" customHeight="1" s="88"/>
    <row r="4100" ht="14.4" customHeight="1" s="88"/>
    <row r="4101" ht="14.4" customHeight="1" s="88"/>
    <row r="4102" ht="14.4" customHeight="1" s="88"/>
    <row r="4103" ht="14.4" customHeight="1" s="88"/>
    <row r="4104" ht="14.4" customHeight="1" s="88"/>
    <row r="4105" ht="14.4" customHeight="1" s="88"/>
    <row r="4106" ht="14.4" customHeight="1" s="88"/>
    <row r="4107" ht="14.4" customHeight="1" s="88"/>
    <row r="4108" ht="14.4" customHeight="1" s="88"/>
    <row r="4109" ht="14.4" customHeight="1" s="88"/>
    <row r="4110" ht="14.4" customHeight="1" s="88"/>
    <row r="4111" ht="14.4" customHeight="1" s="88"/>
    <row r="4112" ht="14.4" customHeight="1" s="88"/>
    <row r="4113" ht="14.4" customHeight="1" s="88"/>
    <row r="4114" ht="14.4" customHeight="1" s="88"/>
    <row r="4115" ht="14.4" customHeight="1" s="88"/>
    <row r="4116" ht="14.4" customHeight="1" s="88"/>
    <row r="4117" ht="14.4" customHeight="1" s="88"/>
    <row r="4118" ht="14.4" customHeight="1" s="88"/>
    <row r="4119" ht="14.4" customHeight="1" s="88"/>
    <row r="4120" ht="14.4" customHeight="1" s="88"/>
    <row r="4121" ht="14.4" customHeight="1" s="88"/>
    <row r="4122" ht="14.4" customHeight="1" s="88"/>
    <row r="4123" ht="14.4" customHeight="1" s="88"/>
    <row r="4124" ht="14.4" customHeight="1" s="88"/>
    <row r="4125" ht="14.4" customHeight="1" s="88"/>
    <row r="4126" ht="14.4" customHeight="1" s="88"/>
    <row r="4127" ht="14.4" customHeight="1" s="88"/>
    <row r="4128" ht="14.4" customHeight="1" s="88"/>
    <row r="4129" ht="14.4" customHeight="1" s="88"/>
    <row r="4130" ht="14.4" customHeight="1" s="88"/>
    <row r="4131" ht="14.4" customHeight="1" s="88"/>
    <row r="4132" ht="14.4" customHeight="1" s="88"/>
    <row r="4133" ht="14.4" customHeight="1" s="88"/>
    <row r="4134" ht="14.4" customHeight="1" s="88"/>
    <row r="4135" ht="14.4" customHeight="1" s="88"/>
    <row r="4136" ht="14.4" customHeight="1" s="88"/>
    <row r="4137" ht="14.4" customHeight="1" s="88"/>
    <row r="4138" ht="14.4" customHeight="1" s="88"/>
    <row r="4139" ht="14.4" customHeight="1" s="88"/>
    <row r="4140" ht="14.4" customHeight="1" s="88"/>
    <row r="4141" ht="14.4" customHeight="1" s="88"/>
    <row r="4142" ht="14.4" customHeight="1" s="88"/>
    <row r="4143" ht="14.4" customHeight="1" s="88"/>
    <row r="4144" ht="14.4" customHeight="1" s="88"/>
    <row r="4145" ht="14.4" customHeight="1" s="88"/>
    <row r="4146" ht="14.4" customHeight="1" s="88"/>
    <row r="4147" ht="14.4" customHeight="1" s="88"/>
    <row r="4148" ht="14.4" customHeight="1" s="88"/>
    <row r="4149" ht="14.4" customHeight="1" s="88"/>
    <row r="4150" ht="14.4" customHeight="1" s="88"/>
    <row r="4151" ht="14.4" customHeight="1" s="88"/>
    <row r="4152" ht="14.4" customHeight="1" s="88"/>
    <row r="4153" ht="14.4" customHeight="1" s="88"/>
    <row r="4154" ht="14.4" customHeight="1" s="88"/>
    <row r="4155" ht="14.4" customHeight="1" s="88"/>
    <row r="4156" ht="14.4" customHeight="1" s="88"/>
    <row r="4157" ht="14.4" customHeight="1" s="88"/>
    <row r="4158" ht="14.4" customHeight="1" s="88"/>
    <row r="4159" ht="14.4" customHeight="1" s="88"/>
    <row r="4160" ht="14.4" customHeight="1" s="88"/>
    <row r="4161" ht="14.4" customHeight="1" s="88"/>
    <row r="4162" ht="14.4" customHeight="1" s="88"/>
    <row r="4163" ht="14.4" customHeight="1" s="88"/>
    <row r="4164" ht="14.4" customHeight="1" s="88"/>
    <row r="4165" ht="14.4" customHeight="1" s="88"/>
    <row r="4166" ht="14.4" customHeight="1" s="88"/>
    <row r="4167" ht="14.4" customHeight="1" s="88"/>
    <row r="4168" ht="14.4" customHeight="1" s="88"/>
    <row r="4169" ht="14.4" customHeight="1" s="88"/>
    <row r="4170" ht="14.4" customHeight="1" s="88"/>
    <row r="4171" ht="14.4" customHeight="1" s="88"/>
    <row r="4172" ht="14.4" customHeight="1" s="88"/>
    <row r="4173" ht="14.4" customHeight="1" s="88"/>
    <row r="4174" ht="14.4" customHeight="1" s="88"/>
    <row r="4175" ht="14.4" customHeight="1" s="88"/>
    <row r="4176" ht="14.4" customHeight="1" s="88"/>
    <row r="4177" ht="14.4" customHeight="1" s="88"/>
    <row r="4178" ht="14.4" customHeight="1" s="88"/>
    <row r="4179" ht="14.4" customHeight="1" s="88"/>
    <row r="4180" ht="14.4" customHeight="1" s="88"/>
    <row r="4181" ht="14.4" customHeight="1" s="88"/>
    <row r="4182" ht="14.4" customHeight="1" s="88"/>
    <row r="4183" ht="14.4" customHeight="1" s="88"/>
    <row r="4184" ht="14.4" customHeight="1" s="88"/>
    <row r="4185" ht="14.4" customHeight="1" s="88"/>
    <row r="4186" ht="14.4" customHeight="1" s="88"/>
    <row r="4187" ht="14.4" customHeight="1" s="88"/>
    <row r="4188" ht="14.4" customHeight="1" s="88"/>
    <row r="4189" ht="14.4" customHeight="1" s="88"/>
    <row r="4190" ht="14.4" customHeight="1" s="88"/>
    <row r="4191" ht="14.4" customHeight="1" s="88"/>
    <row r="4192" ht="14.4" customHeight="1" s="88"/>
    <row r="4193" ht="14.4" customHeight="1" s="88"/>
    <row r="4194" ht="14.4" customHeight="1" s="88"/>
    <row r="4195" ht="14.4" customHeight="1" s="88"/>
    <row r="4196" ht="14.4" customHeight="1" s="88"/>
    <row r="4197" ht="14.4" customHeight="1" s="88"/>
    <row r="4198" ht="14.4" customHeight="1" s="88"/>
    <row r="4199" ht="14.4" customHeight="1" s="88"/>
    <row r="4200" ht="14.4" customHeight="1" s="88"/>
    <row r="4201" ht="14.4" customHeight="1" s="88"/>
    <row r="4202" ht="14.4" customHeight="1" s="88"/>
    <row r="4203" ht="14.4" customHeight="1" s="88"/>
    <row r="4204" ht="14.4" customHeight="1" s="88"/>
    <row r="4205" ht="14.4" customHeight="1" s="88"/>
    <row r="4206" ht="14.4" customHeight="1" s="88"/>
    <row r="4207" ht="14.4" customHeight="1" s="88"/>
    <row r="4208" ht="14.4" customHeight="1" s="88"/>
    <row r="4209" ht="14.4" customHeight="1" s="88"/>
    <row r="4210" ht="14.4" customHeight="1" s="88"/>
    <row r="4211" ht="14.4" customHeight="1" s="88"/>
    <row r="4212" ht="14.4" customHeight="1" s="88"/>
    <row r="4213" ht="14.4" customHeight="1" s="88"/>
    <row r="4214" ht="14.4" customHeight="1" s="88"/>
    <row r="4215" ht="14.4" customHeight="1" s="88"/>
    <row r="4216" ht="14.4" customHeight="1" s="88"/>
    <row r="4217" ht="14.4" customHeight="1" s="88"/>
    <row r="4218" ht="14.4" customHeight="1" s="88"/>
    <row r="4219" ht="14.4" customHeight="1" s="88"/>
    <row r="4220" ht="14.4" customHeight="1" s="88"/>
    <row r="4221" ht="14.4" customHeight="1" s="88"/>
    <row r="4222" ht="14.4" customHeight="1" s="88"/>
    <row r="4223" ht="14.4" customHeight="1" s="88"/>
    <row r="4224" ht="14.4" customHeight="1" s="88"/>
    <row r="4225" ht="14.4" customHeight="1" s="88"/>
    <row r="4226" ht="14.4" customHeight="1" s="88"/>
    <row r="4227" ht="14.4" customHeight="1" s="88"/>
    <row r="4228" ht="14.4" customHeight="1" s="88"/>
    <row r="4229" ht="14.4" customHeight="1" s="88"/>
    <row r="4230" ht="14.4" customHeight="1" s="88"/>
    <row r="4231" ht="14.4" customHeight="1" s="88"/>
    <row r="4232" ht="14.4" customHeight="1" s="88"/>
    <row r="4233" ht="14.4" customHeight="1" s="88"/>
    <row r="4234" ht="14.4" customHeight="1" s="88"/>
    <row r="4235" ht="14.4" customHeight="1" s="88"/>
    <row r="4236" ht="14.4" customHeight="1" s="88"/>
    <row r="4237" ht="14.4" customHeight="1" s="88"/>
    <row r="4238" ht="14.4" customHeight="1" s="88"/>
    <row r="4239" ht="14.4" customHeight="1" s="88"/>
    <row r="4240" ht="14.4" customHeight="1" s="88"/>
    <row r="4241" ht="14.4" customHeight="1" s="88"/>
    <row r="4242" ht="14.4" customHeight="1" s="88"/>
    <row r="4243" ht="14.4" customHeight="1" s="88"/>
    <row r="4244" ht="14.4" customHeight="1" s="88"/>
    <row r="4245" ht="14.4" customHeight="1" s="88"/>
    <row r="4246" ht="14.4" customHeight="1" s="88"/>
    <row r="4247" ht="14.4" customHeight="1" s="88"/>
    <row r="4248" ht="14.4" customHeight="1" s="88"/>
    <row r="4249" ht="14.4" customHeight="1" s="88"/>
    <row r="4250" ht="14.4" customHeight="1" s="88"/>
    <row r="4251" ht="14.4" customHeight="1" s="88"/>
    <row r="4252" ht="14.4" customHeight="1" s="88"/>
    <row r="4253" ht="14.4" customHeight="1" s="88"/>
    <row r="4254" ht="14.4" customHeight="1" s="88"/>
    <row r="4255" ht="14.4" customHeight="1" s="88"/>
    <row r="4256" ht="14.4" customHeight="1" s="88"/>
    <row r="4257" ht="14.4" customHeight="1" s="88"/>
    <row r="4258" ht="14.4" customHeight="1" s="88"/>
    <row r="4259" ht="14.4" customHeight="1" s="88"/>
    <row r="4260" ht="14.4" customHeight="1" s="88"/>
    <row r="4261" ht="14.4" customHeight="1" s="88"/>
    <row r="4262" ht="14.4" customHeight="1" s="88"/>
    <row r="4263" ht="14.4" customHeight="1" s="88"/>
    <row r="4264" ht="14.4" customHeight="1" s="88"/>
    <row r="4265" ht="14.4" customHeight="1" s="88"/>
    <row r="4266" ht="14.4" customHeight="1" s="88"/>
    <row r="4267" ht="14.4" customHeight="1" s="88"/>
    <row r="4268" ht="14.4" customHeight="1" s="88"/>
    <row r="4269" ht="14.4" customHeight="1" s="88"/>
    <row r="4270" ht="14.4" customHeight="1" s="88"/>
    <row r="4271" ht="14.4" customHeight="1" s="88"/>
    <row r="4272" ht="14.4" customHeight="1" s="88"/>
    <row r="4273" ht="14.4" customHeight="1" s="88"/>
    <row r="4274" ht="14.4" customHeight="1" s="88"/>
    <row r="4275" ht="14.4" customHeight="1" s="88"/>
    <row r="4276" ht="14.4" customHeight="1" s="88"/>
    <row r="4277" ht="14.4" customHeight="1" s="88"/>
    <row r="4278" ht="14.4" customHeight="1" s="88"/>
    <row r="4279" ht="14.4" customHeight="1" s="88"/>
    <row r="4280" ht="14.4" customHeight="1" s="88"/>
    <row r="4281" ht="14.4" customHeight="1" s="88"/>
    <row r="4282" ht="14.4" customHeight="1" s="88"/>
    <row r="4283" ht="14.4" customHeight="1" s="88"/>
    <row r="4284" ht="14.4" customHeight="1" s="88"/>
    <row r="4285" ht="14.4" customHeight="1" s="88"/>
    <row r="4286" ht="14.4" customHeight="1" s="88"/>
    <row r="4287" ht="14.4" customHeight="1" s="88"/>
    <row r="4288" ht="14.4" customHeight="1" s="88"/>
    <row r="4289" ht="14.4" customHeight="1" s="88"/>
    <row r="4290" ht="14.4" customHeight="1" s="88"/>
    <row r="4291" ht="14.4" customHeight="1" s="88"/>
    <row r="4292" ht="14.4" customHeight="1" s="88"/>
    <row r="4293" ht="14.4" customHeight="1" s="88"/>
    <row r="4294" ht="14.4" customHeight="1" s="88"/>
    <row r="4295" ht="14.4" customHeight="1" s="88"/>
    <row r="4296" ht="14.4" customHeight="1" s="88"/>
    <row r="4297" ht="14.4" customHeight="1" s="88"/>
    <row r="4298" ht="14.4" customHeight="1" s="88"/>
    <row r="4299" ht="14.4" customHeight="1" s="88"/>
    <row r="4300" ht="14.4" customHeight="1" s="88"/>
    <row r="4301" ht="14.4" customHeight="1" s="88"/>
    <row r="4302" ht="14.4" customHeight="1" s="88"/>
    <row r="4303" ht="14.4" customHeight="1" s="88"/>
    <row r="4304" ht="14.4" customHeight="1" s="88"/>
    <row r="4305" ht="14.4" customHeight="1" s="88"/>
    <row r="4306" ht="14.4" customHeight="1" s="88"/>
    <row r="4307" ht="14.4" customHeight="1" s="88"/>
    <row r="4308" ht="14.4" customHeight="1" s="88"/>
    <row r="4309" ht="14.4" customHeight="1" s="88"/>
    <row r="4310" ht="14.4" customHeight="1" s="88"/>
    <row r="4311" ht="14.4" customHeight="1" s="88"/>
    <row r="4312" ht="14.4" customHeight="1" s="88"/>
    <row r="4313" ht="14.4" customHeight="1" s="88"/>
    <row r="4314" ht="14.4" customHeight="1" s="88"/>
    <row r="4315" ht="14.4" customHeight="1" s="88"/>
    <row r="4316" ht="14.4" customHeight="1" s="88"/>
    <row r="4317" ht="14.4" customHeight="1" s="88"/>
    <row r="4318" ht="14.4" customHeight="1" s="88"/>
    <row r="4319" ht="14.4" customHeight="1" s="88"/>
    <row r="4320" ht="14.4" customHeight="1" s="88"/>
    <row r="4321" ht="14.4" customHeight="1" s="88"/>
    <row r="4322" ht="14.4" customHeight="1" s="88"/>
    <row r="4323" ht="14.4" customHeight="1" s="88"/>
    <row r="4324" ht="14.4" customHeight="1" s="88"/>
    <row r="4325" ht="14.4" customHeight="1" s="88"/>
    <row r="4326" ht="14.4" customHeight="1" s="88"/>
    <row r="4327" ht="14.4" customHeight="1" s="88"/>
    <row r="4328" ht="14.4" customHeight="1" s="88"/>
    <row r="4329" ht="14.4" customHeight="1" s="88"/>
    <row r="4330" ht="14.4" customHeight="1" s="88"/>
    <row r="4331" ht="14.4" customHeight="1" s="88"/>
    <row r="4332" ht="14.4" customHeight="1" s="88"/>
    <row r="4333" ht="14.4" customHeight="1" s="88"/>
    <row r="4334" ht="14.4" customHeight="1" s="88"/>
    <row r="4335" ht="14.4" customHeight="1" s="88"/>
    <row r="4336" ht="14.4" customHeight="1" s="88"/>
    <row r="4337" ht="14.4" customHeight="1" s="88"/>
    <row r="4338" ht="14.4" customHeight="1" s="88"/>
    <row r="4339" ht="14.4" customHeight="1" s="88"/>
    <row r="4340" ht="14.4" customHeight="1" s="88"/>
    <row r="4341" ht="14.4" customHeight="1" s="88"/>
    <row r="4342" ht="14.4" customHeight="1" s="88"/>
    <row r="4343" ht="14.4" customHeight="1" s="88"/>
    <row r="4344" ht="14.4" customHeight="1" s="88"/>
    <row r="4345" ht="14.4" customHeight="1" s="88"/>
    <row r="4346" ht="14.4" customHeight="1" s="88"/>
    <row r="4347" ht="14.4" customHeight="1" s="88"/>
    <row r="4348" ht="14.4" customHeight="1" s="88"/>
    <row r="4349" ht="14.4" customHeight="1" s="88"/>
    <row r="4350" ht="14.4" customHeight="1" s="88"/>
    <row r="4351" ht="14.4" customHeight="1" s="88"/>
    <row r="4352" ht="14.4" customHeight="1" s="88"/>
    <row r="4353" ht="14.4" customHeight="1" s="88"/>
    <row r="4354" ht="14.4" customHeight="1" s="88"/>
    <row r="4355" ht="14.4" customHeight="1" s="88"/>
    <row r="4356" ht="14.4" customHeight="1" s="88"/>
    <row r="4357" ht="14.4" customHeight="1" s="88"/>
    <row r="4358" ht="14.4" customHeight="1" s="88"/>
    <row r="4359" ht="14.4" customHeight="1" s="88"/>
    <row r="4360" ht="14.4" customHeight="1" s="88"/>
    <row r="4361" ht="14.4" customHeight="1" s="88"/>
    <row r="4362" ht="14.4" customHeight="1" s="88"/>
    <row r="4363" ht="14.4" customHeight="1" s="88"/>
    <row r="4364" ht="14.4" customHeight="1" s="88"/>
    <row r="4365" ht="14.4" customHeight="1" s="88"/>
    <row r="4366" ht="14.4" customHeight="1" s="88"/>
    <row r="4367" ht="14.4" customHeight="1" s="88"/>
    <row r="4368" ht="14.4" customHeight="1" s="88"/>
    <row r="4369" ht="14.4" customHeight="1" s="88"/>
    <row r="4370" ht="14.4" customHeight="1" s="88"/>
    <row r="4371" ht="14.4" customHeight="1" s="88"/>
    <row r="4372" ht="14.4" customHeight="1" s="88"/>
    <row r="4373" ht="14.4" customHeight="1" s="88"/>
    <row r="4374" ht="14.4" customHeight="1" s="88"/>
    <row r="4375" ht="14.4" customHeight="1" s="88"/>
    <row r="4376" ht="14.4" customHeight="1" s="88"/>
    <row r="4377" ht="14.4" customHeight="1" s="88"/>
    <row r="4378" ht="14.4" customHeight="1" s="88"/>
    <row r="4379" ht="14.4" customHeight="1" s="88"/>
    <row r="4380" ht="14.4" customHeight="1" s="88"/>
    <row r="4381" ht="14.4" customHeight="1" s="88"/>
    <row r="4382" ht="14.4" customHeight="1" s="88"/>
    <row r="4383" ht="14.4" customHeight="1" s="88"/>
    <row r="4384" ht="14.4" customHeight="1" s="88"/>
    <row r="4385" ht="14.4" customHeight="1" s="88"/>
    <row r="4386" ht="14.4" customHeight="1" s="88"/>
    <row r="4387" ht="14.4" customHeight="1" s="88"/>
    <row r="4388" ht="14.4" customHeight="1" s="88"/>
    <row r="4389" ht="14.4" customHeight="1" s="88"/>
    <row r="4390" ht="14.4" customHeight="1" s="88"/>
    <row r="4391" ht="14.4" customHeight="1" s="88"/>
    <row r="4392" ht="14.4" customHeight="1" s="88"/>
    <row r="4393" ht="14.4" customHeight="1" s="88"/>
    <row r="4394" ht="14.4" customHeight="1" s="88"/>
    <row r="4395" ht="14.4" customHeight="1" s="88"/>
    <row r="4396" ht="14.4" customHeight="1" s="88"/>
    <row r="4397" ht="14.4" customHeight="1" s="88"/>
    <row r="4398" ht="14.4" customHeight="1" s="88"/>
    <row r="4399" ht="14.4" customHeight="1" s="88"/>
    <row r="4400" ht="14.4" customHeight="1" s="88"/>
    <row r="4401" ht="14.4" customHeight="1" s="88"/>
    <row r="4402" ht="14.4" customHeight="1" s="88"/>
    <row r="4403" ht="14.4" customHeight="1" s="88"/>
    <row r="4404" ht="14.4" customHeight="1" s="88"/>
    <row r="4405" ht="14.4" customHeight="1" s="88"/>
    <row r="4406" ht="14.4" customHeight="1" s="88"/>
    <row r="4407" ht="14.4" customHeight="1" s="88"/>
    <row r="4408" ht="14.4" customHeight="1" s="88"/>
    <row r="4409" ht="14.4" customHeight="1" s="88"/>
    <row r="4410" ht="14.4" customHeight="1" s="88"/>
    <row r="4411" ht="14.4" customHeight="1" s="88"/>
    <row r="4412" ht="14.4" customHeight="1" s="88"/>
    <row r="4413" ht="14.4" customHeight="1" s="88"/>
    <row r="4414" ht="14.4" customHeight="1" s="88"/>
    <row r="4415" ht="14.4" customHeight="1" s="88"/>
    <row r="4416" ht="14.4" customHeight="1" s="88"/>
    <row r="4417" ht="14.4" customHeight="1" s="88"/>
    <row r="4418" ht="14.4" customHeight="1" s="88"/>
    <row r="4419" ht="14.4" customHeight="1" s="88"/>
    <row r="4420" ht="14.4" customHeight="1" s="88"/>
    <row r="4421" ht="14.4" customHeight="1" s="88"/>
    <row r="4422" ht="14.4" customHeight="1" s="88"/>
    <row r="4423" ht="14.4" customHeight="1" s="88"/>
    <row r="4424" ht="14.4" customHeight="1" s="88"/>
    <row r="4425" ht="14.4" customHeight="1" s="88"/>
    <row r="4426" ht="14.4" customHeight="1" s="88"/>
    <row r="4427" ht="14.4" customHeight="1" s="88"/>
    <row r="4428" ht="14.4" customHeight="1" s="88"/>
    <row r="4429" ht="14.4" customHeight="1" s="88"/>
    <row r="4430" ht="14.4" customHeight="1" s="88"/>
    <row r="4431" ht="14.4" customHeight="1" s="88"/>
    <row r="4432" ht="14.4" customHeight="1" s="88"/>
    <row r="4433" ht="14.4" customHeight="1" s="88"/>
    <row r="4434" ht="14.4" customHeight="1" s="88"/>
    <row r="4435" ht="14.4" customHeight="1" s="88"/>
    <row r="4436" ht="14.4" customHeight="1" s="88"/>
    <row r="4437" ht="14.4" customHeight="1" s="88"/>
    <row r="4438" ht="14.4" customHeight="1" s="88"/>
    <row r="4439" ht="14.4" customHeight="1" s="88"/>
    <row r="4440" ht="14.4" customHeight="1" s="88"/>
    <row r="4441" ht="14.4" customHeight="1" s="88"/>
    <row r="4442" ht="14.4" customHeight="1" s="88"/>
    <row r="4443" ht="14.4" customHeight="1" s="88"/>
    <row r="4444" ht="14.4" customHeight="1" s="88"/>
    <row r="4445" ht="14.4" customHeight="1" s="88"/>
    <row r="4446" ht="14.4" customHeight="1" s="88"/>
    <row r="4447" ht="14.4" customHeight="1" s="88"/>
    <row r="4448" ht="14.4" customHeight="1" s="88"/>
    <row r="4449" ht="14.4" customHeight="1" s="88"/>
    <row r="4450" ht="14.4" customHeight="1" s="88"/>
    <row r="4451" ht="14.4" customHeight="1" s="88"/>
    <row r="4452" ht="14.4" customHeight="1" s="88"/>
    <row r="4453" ht="14.4" customHeight="1" s="88"/>
    <row r="4454" ht="14.4" customHeight="1" s="88"/>
    <row r="4455" ht="14.4" customHeight="1" s="88"/>
    <row r="4456" ht="14.4" customHeight="1" s="88"/>
    <row r="4457" ht="14.4" customHeight="1" s="88"/>
    <row r="4458" ht="14.4" customHeight="1" s="88"/>
    <row r="4459" ht="14.4" customHeight="1" s="88"/>
    <row r="4460" ht="14.4" customHeight="1" s="88"/>
    <row r="4461" ht="14.4" customHeight="1" s="88"/>
    <row r="4462" ht="14.4" customHeight="1" s="88"/>
    <row r="4463" ht="14.4" customHeight="1" s="88"/>
    <row r="4464" ht="14.4" customHeight="1" s="88"/>
    <row r="4465" ht="14.4" customHeight="1" s="88"/>
    <row r="4466" ht="14.4" customHeight="1" s="88"/>
    <row r="4467" ht="14.4" customHeight="1" s="88"/>
    <row r="4468" ht="14.4" customHeight="1" s="88"/>
    <row r="4469" ht="14.4" customHeight="1" s="88"/>
    <row r="4470" ht="14.4" customHeight="1" s="88"/>
    <row r="4471" ht="14.4" customHeight="1" s="88"/>
    <row r="4472" ht="14.4" customHeight="1" s="88"/>
    <row r="4473" ht="14.4" customHeight="1" s="88"/>
    <row r="4474" ht="14.4" customHeight="1" s="88"/>
    <row r="4475" ht="14.4" customHeight="1" s="88"/>
    <row r="4476" ht="14.4" customHeight="1" s="88"/>
    <row r="4477" ht="14.4" customHeight="1" s="88"/>
    <row r="4478" ht="14.4" customHeight="1" s="88"/>
    <row r="4479" ht="14.4" customHeight="1" s="88"/>
    <row r="4480" ht="14.4" customHeight="1" s="88"/>
    <row r="4481" ht="14.4" customHeight="1" s="88"/>
    <row r="4482" ht="14.4" customHeight="1" s="88"/>
    <row r="4483" ht="14.4" customHeight="1" s="88"/>
    <row r="4484" ht="14.4" customHeight="1" s="88"/>
    <row r="4485" ht="14.4" customHeight="1" s="88"/>
    <row r="4486" ht="14.4" customHeight="1" s="88"/>
    <row r="4487" ht="14.4" customHeight="1" s="88"/>
    <row r="4488" ht="14.4" customHeight="1" s="88"/>
    <row r="4489" ht="14.4" customHeight="1" s="88"/>
    <row r="4490" ht="14.4" customHeight="1" s="88"/>
    <row r="4491" ht="14.4" customHeight="1" s="88"/>
    <row r="4492" ht="14.4" customHeight="1" s="88"/>
    <row r="4493" ht="14.4" customHeight="1" s="88"/>
    <row r="4494" ht="14.4" customHeight="1" s="88"/>
    <row r="4495" ht="14.4" customHeight="1" s="88"/>
    <row r="4496" ht="14.4" customHeight="1" s="88"/>
    <row r="4497" ht="14.4" customHeight="1" s="88"/>
    <row r="4498" ht="14.4" customHeight="1" s="88"/>
    <row r="4499" ht="14.4" customHeight="1" s="88"/>
    <row r="4500" ht="14.4" customHeight="1" s="88"/>
    <row r="4501" ht="14.4" customHeight="1" s="88"/>
    <row r="4502" ht="14.4" customHeight="1" s="88"/>
    <row r="4503" ht="14.4" customHeight="1" s="88"/>
    <row r="4504" ht="14.4" customHeight="1" s="88"/>
    <row r="4505" ht="14.4" customHeight="1" s="88"/>
    <row r="4506" ht="14.4" customHeight="1" s="88"/>
    <row r="4507" ht="14.4" customHeight="1" s="88"/>
    <row r="4508" ht="14.4" customHeight="1" s="88"/>
    <row r="4509" ht="14.4" customHeight="1" s="88"/>
    <row r="4510" ht="14.4" customHeight="1" s="88"/>
    <row r="4511" ht="14.4" customHeight="1" s="88"/>
    <row r="4512" ht="14.4" customHeight="1" s="88"/>
    <row r="4513" ht="14.4" customHeight="1" s="88"/>
    <row r="4514" ht="14.4" customHeight="1" s="88"/>
    <row r="4515" ht="14.4" customHeight="1" s="88"/>
    <row r="4516" ht="14.4" customHeight="1" s="88"/>
    <row r="4517" ht="14.4" customHeight="1" s="88"/>
    <row r="4518" ht="14.4" customHeight="1" s="88"/>
    <row r="4519" ht="14.4" customHeight="1" s="88"/>
    <row r="4520" ht="14.4" customHeight="1" s="88"/>
    <row r="4521" ht="14.4" customHeight="1" s="88"/>
    <row r="4522" ht="14.4" customHeight="1" s="88"/>
    <row r="4523" ht="14.4" customHeight="1" s="88"/>
    <row r="4524" ht="14.4" customHeight="1" s="88"/>
    <row r="4525" ht="14.4" customHeight="1" s="88"/>
    <row r="4526" ht="14.4" customHeight="1" s="88"/>
    <row r="4527" ht="14.4" customHeight="1" s="88"/>
    <row r="4528" ht="14.4" customHeight="1" s="88"/>
    <row r="4529" ht="14.4" customHeight="1" s="88"/>
    <row r="4530" ht="14.4" customHeight="1" s="88"/>
    <row r="4531" ht="14.4" customHeight="1" s="88"/>
    <row r="4532" ht="14.4" customHeight="1" s="88"/>
    <row r="4533" ht="14.4" customHeight="1" s="88"/>
    <row r="4534" ht="14.4" customHeight="1" s="88"/>
    <row r="4535" ht="14.4" customHeight="1" s="88"/>
    <row r="4536" ht="14.4" customHeight="1" s="88"/>
    <row r="4537" ht="14.4" customHeight="1" s="88"/>
    <row r="4538" ht="14.4" customHeight="1" s="88"/>
    <row r="4539" ht="14.4" customHeight="1" s="88"/>
    <row r="4540" ht="14.4" customHeight="1" s="88"/>
    <row r="4541" ht="14.4" customHeight="1" s="88"/>
    <row r="4542" ht="14.4" customHeight="1" s="88"/>
    <row r="4543" ht="14.4" customHeight="1" s="88"/>
    <row r="4544" ht="14.4" customHeight="1" s="88"/>
    <row r="4545" ht="14.4" customHeight="1" s="88"/>
    <row r="4546" ht="14.4" customHeight="1" s="88"/>
    <row r="4547" ht="14.4" customHeight="1" s="88"/>
    <row r="4548" ht="14.4" customHeight="1" s="88"/>
    <row r="4549" ht="14.4" customHeight="1" s="88"/>
    <row r="4550" ht="14.4" customHeight="1" s="88"/>
    <row r="4551" ht="14.4" customHeight="1" s="88"/>
    <row r="4552" ht="14.4" customHeight="1" s="88"/>
    <row r="4553" ht="14.4" customHeight="1" s="88"/>
    <row r="4554" ht="14.4" customHeight="1" s="88"/>
    <row r="4555" ht="14.4" customHeight="1" s="88"/>
    <row r="4556" ht="14.4" customHeight="1" s="88"/>
    <row r="4557" ht="14.4" customHeight="1" s="88"/>
    <row r="4558" ht="14.4" customHeight="1" s="88"/>
    <row r="4559" ht="14.4" customHeight="1" s="88"/>
    <row r="4560" ht="14.4" customHeight="1" s="88"/>
    <row r="4561" ht="14.4" customHeight="1" s="88"/>
    <row r="4562" ht="14.4" customHeight="1" s="88"/>
    <row r="4563" ht="14.4" customHeight="1" s="88"/>
    <row r="4564" ht="14.4" customHeight="1" s="88"/>
    <row r="4565" ht="14.4" customHeight="1" s="88"/>
    <row r="4566" ht="14.4" customHeight="1" s="88"/>
    <row r="4567" ht="14.4" customHeight="1" s="88"/>
    <row r="4568" ht="14.4" customHeight="1" s="88"/>
    <row r="4569" ht="14.4" customHeight="1" s="88"/>
    <row r="4570" ht="14.4" customHeight="1" s="88"/>
    <row r="4571" ht="14.4" customHeight="1" s="88"/>
    <row r="4572" ht="14.4" customHeight="1" s="88"/>
    <row r="4573" ht="14.4" customHeight="1" s="88"/>
    <row r="4574" ht="14.4" customHeight="1" s="88"/>
    <row r="4575" ht="14.4" customHeight="1" s="88"/>
    <row r="4576" ht="14.4" customHeight="1" s="88"/>
    <row r="4577" ht="14.4" customHeight="1" s="88"/>
    <row r="4578" ht="14.4" customHeight="1" s="88"/>
    <row r="4579" ht="14.4" customHeight="1" s="88"/>
    <row r="4580" ht="14.4" customHeight="1" s="88"/>
    <row r="4581" ht="14.4" customHeight="1" s="88"/>
    <row r="4582" ht="14.4" customHeight="1" s="88"/>
    <row r="4583" ht="14.4" customHeight="1" s="88"/>
    <row r="4584" ht="14.4" customHeight="1" s="88"/>
    <row r="4585" ht="14.4" customHeight="1" s="88"/>
    <row r="4586" ht="14.4" customHeight="1" s="88"/>
    <row r="4587" ht="14.4" customHeight="1" s="88"/>
    <row r="4588" ht="14.4" customHeight="1" s="88"/>
    <row r="4589" ht="14.4" customHeight="1" s="88"/>
    <row r="4590" ht="14.4" customHeight="1" s="88"/>
    <row r="4591" ht="14.4" customHeight="1" s="88"/>
    <row r="4592" ht="14.4" customHeight="1" s="88"/>
    <row r="4593" ht="14.4" customHeight="1" s="88"/>
    <row r="4594" ht="14.4" customHeight="1" s="88"/>
    <row r="4595" ht="14.4" customHeight="1" s="88"/>
    <row r="4596" ht="14.4" customHeight="1" s="88"/>
    <row r="4597" ht="14.4" customHeight="1" s="88"/>
    <row r="4598" ht="14.4" customHeight="1" s="88"/>
    <row r="4599" ht="14.4" customHeight="1" s="88"/>
    <row r="4600" ht="14.4" customHeight="1" s="88"/>
    <row r="4601" ht="14.4" customHeight="1" s="88"/>
    <row r="4602" ht="14.4" customHeight="1" s="88"/>
    <row r="4603" ht="14.4" customHeight="1" s="88"/>
    <row r="4604" ht="14.4" customHeight="1" s="88"/>
    <row r="4605" ht="14.4" customHeight="1" s="88"/>
    <row r="4606" ht="14.4" customHeight="1" s="88"/>
    <row r="4607" ht="14.4" customHeight="1" s="88"/>
    <row r="4608" ht="14.4" customHeight="1" s="88"/>
    <row r="4609" ht="14.4" customHeight="1" s="88"/>
    <row r="4610" ht="14.4" customHeight="1" s="88"/>
    <row r="4611" ht="14.4" customHeight="1" s="88"/>
    <row r="4612" ht="14.4" customHeight="1" s="88"/>
    <row r="4613" ht="14.4" customHeight="1" s="88"/>
    <row r="4614" ht="14.4" customHeight="1" s="88"/>
    <row r="4615" ht="14.4" customHeight="1" s="88"/>
    <row r="4616" ht="14.4" customHeight="1" s="88"/>
    <row r="4617" ht="14.4" customHeight="1" s="88"/>
    <row r="4618" ht="14.4" customHeight="1" s="88"/>
    <row r="4619" ht="14.4" customHeight="1" s="88"/>
    <row r="4620" ht="14.4" customHeight="1" s="88"/>
    <row r="4621" ht="14.4" customHeight="1" s="88"/>
    <row r="4622" ht="14.4" customHeight="1" s="88"/>
    <row r="4623" ht="14.4" customHeight="1" s="88"/>
    <row r="4624" ht="14.4" customHeight="1" s="88"/>
    <row r="4625" ht="14.4" customHeight="1" s="88"/>
    <row r="4626" ht="14.4" customHeight="1" s="88"/>
    <row r="4627" ht="14.4" customHeight="1" s="88"/>
    <row r="4628" ht="14.4" customHeight="1" s="88"/>
    <row r="4629" ht="14.4" customHeight="1" s="88"/>
    <row r="4630" ht="14.4" customHeight="1" s="88"/>
    <row r="4631" ht="14.4" customHeight="1" s="88"/>
    <row r="4632" ht="14.4" customHeight="1" s="88"/>
    <row r="4633" ht="14.4" customHeight="1" s="88"/>
    <row r="4634" ht="14.4" customHeight="1" s="88"/>
    <row r="4635" ht="14.4" customHeight="1" s="88"/>
    <row r="4636" ht="14.4" customHeight="1" s="88"/>
    <row r="4637" ht="14.4" customHeight="1" s="88"/>
    <row r="4638" ht="14.4" customHeight="1" s="88"/>
    <row r="4639" ht="14.4" customHeight="1" s="88"/>
    <row r="4640" ht="14.4" customHeight="1" s="88"/>
    <row r="4641" ht="14.4" customHeight="1" s="88"/>
    <row r="4642" ht="14.4" customHeight="1" s="88"/>
    <row r="4643" ht="14.4" customHeight="1" s="88"/>
    <row r="4644" ht="14.4" customHeight="1" s="88"/>
    <row r="4645" ht="14.4" customHeight="1" s="88"/>
    <row r="4646" ht="14.4" customHeight="1" s="88"/>
    <row r="4647" ht="14.4" customHeight="1" s="88"/>
    <row r="4648" ht="14.4" customHeight="1" s="88"/>
    <row r="4649" ht="14.4" customHeight="1" s="88"/>
    <row r="4650" ht="14.4" customHeight="1" s="88"/>
    <row r="4651" ht="14.4" customHeight="1" s="88"/>
    <row r="4652" ht="14.4" customHeight="1" s="88"/>
    <row r="4653" ht="14.4" customHeight="1" s="88"/>
    <row r="4654" ht="14.4" customHeight="1" s="88"/>
    <row r="4655" ht="14.4" customHeight="1" s="88"/>
    <row r="4656" ht="14.4" customHeight="1" s="88"/>
    <row r="4657" ht="14.4" customHeight="1" s="88"/>
    <row r="4658" ht="14.4" customHeight="1" s="88"/>
    <row r="4659" ht="14.4" customHeight="1" s="88"/>
    <row r="4660" ht="14.4" customHeight="1" s="88"/>
    <row r="4661" ht="14.4" customHeight="1" s="88"/>
    <row r="4662" ht="14.4" customHeight="1" s="88"/>
    <row r="4663" ht="14.4" customHeight="1" s="88"/>
    <row r="4664" ht="14.4" customHeight="1" s="88"/>
    <row r="4665" ht="14.4" customHeight="1" s="88"/>
    <row r="4666" ht="14.4" customHeight="1" s="88"/>
    <row r="4667" ht="14.4" customHeight="1" s="88"/>
    <row r="4668" ht="14.4" customHeight="1" s="88"/>
    <row r="4669" ht="14.4" customHeight="1" s="88"/>
    <row r="4670" ht="14.4" customHeight="1" s="88"/>
    <row r="4671" ht="14.4" customHeight="1" s="88"/>
    <row r="4672" ht="14.4" customHeight="1" s="88"/>
    <row r="4673" ht="14.4" customHeight="1" s="88"/>
    <row r="4674" ht="14.4" customHeight="1" s="88"/>
    <row r="4675" ht="14.4" customHeight="1" s="88"/>
    <row r="4676" ht="14.4" customHeight="1" s="88"/>
    <row r="4677" ht="14.4" customHeight="1" s="88"/>
    <row r="4678" ht="14.4" customHeight="1" s="88"/>
    <row r="4679" ht="14.4" customHeight="1" s="88"/>
    <row r="4680" ht="14.4" customHeight="1" s="88"/>
    <row r="4681" ht="14.4" customHeight="1" s="88"/>
    <row r="4682" ht="14.4" customHeight="1" s="88"/>
    <row r="4683" ht="14.4" customHeight="1" s="88"/>
    <row r="4684" ht="14.4" customHeight="1" s="88"/>
    <row r="4685" ht="14.4" customHeight="1" s="88"/>
    <row r="4686" ht="14.4" customHeight="1" s="88"/>
    <row r="4687" ht="14.4" customHeight="1" s="88"/>
    <row r="4688" ht="14.4" customHeight="1" s="88"/>
    <row r="4689" ht="14.4" customHeight="1" s="88"/>
    <row r="4690" ht="14.4" customHeight="1" s="88"/>
    <row r="4691" ht="14.4" customHeight="1" s="88"/>
    <row r="4692" ht="14.4" customHeight="1" s="88"/>
    <row r="4693" ht="14.4" customHeight="1" s="88"/>
    <row r="4694" ht="14.4" customHeight="1" s="88"/>
    <row r="4695" ht="14.4" customHeight="1" s="88"/>
    <row r="4696" ht="14.4" customHeight="1" s="88"/>
    <row r="4697" ht="14.4" customHeight="1" s="88"/>
    <row r="4698" ht="14.4" customHeight="1" s="88"/>
    <row r="4699" ht="14.4" customHeight="1" s="88"/>
    <row r="4700" ht="14.4" customHeight="1" s="88"/>
    <row r="4701" ht="14.4" customHeight="1" s="88"/>
    <row r="4702" ht="14.4" customHeight="1" s="88"/>
    <row r="4703" ht="14.4" customHeight="1" s="88"/>
    <row r="4704" ht="14.4" customHeight="1" s="88"/>
    <row r="4705" ht="14.4" customHeight="1" s="88"/>
    <row r="4706" ht="14.4" customHeight="1" s="88"/>
    <row r="4707" ht="14.4" customHeight="1" s="88"/>
    <row r="4708" ht="14.4" customHeight="1" s="88"/>
    <row r="4709" ht="14.4" customHeight="1" s="88"/>
    <row r="4710" ht="14.4" customHeight="1" s="88"/>
    <row r="4711" ht="14.4" customHeight="1" s="88"/>
    <row r="4712" ht="14.4" customHeight="1" s="88"/>
    <row r="4713" ht="14.4" customHeight="1" s="88"/>
    <row r="4714" ht="14.4" customHeight="1" s="88"/>
    <row r="4715" ht="14.4" customHeight="1" s="88"/>
    <row r="4716" ht="14.4" customHeight="1" s="88"/>
    <row r="4717" ht="14.4" customHeight="1" s="88"/>
    <row r="4718" ht="14.4" customHeight="1" s="88"/>
    <row r="4719" ht="14.4" customHeight="1" s="88"/>
    <row r="4720" ht="14.4" customHeight="1" s="88"/>
    <row r="4721" ht="14.4" customHeight="1" s="88"/>
    <row r="4722" ht="14.4" customHeight="1" s="88"/>
    <row r="4723" ht="14.4" customHeight="1" s="88"/>
    <row r="4724" ht="14.4" customHeight="1" s="88"/>
    <row r="4725" ht="14.4" customHeight="1" s="88"/>
    <row r="4726" ht="14.4" customHeight="1" s="88"/>
    <row r="4727" ht="14.4" customHeight="1" s="88"/>
    <row r="4728" ht="14.4" customHeight="1" s="88"/>
    <row r="4729" ht="14.4" customHeight="1" s="88"/>
    <row r="4730" ht="14.4" customHeight="1" s="88"/>
    <row r="4731" ht="14.4" customHeight="1" s="88"/>
    <row r="4732" ht="14.4" customHeight="1" s="88"/>
    <row r="4733" ht="14.4" customHeight="1" s="88"/>
    <row r="4734" ht="14.4" customHeight="1" s="88"/>
    <row r="4735" ht="14.4" customHeight="1" s="88"/>
    <row r="4736" ht="14.4" customHeight="1" s="88"/>
    <row r="4737" ht="14.4" customHeight="1" s="88"/>
    <row r="4738" ht="14.4" customHeight="1" s="88"/>
    <row r="4739" ht="14.4" customHeight="1" s="88"/>
    <row r="4740" ht="14.4" customHeight="1" s="88"/>
    <row r="4741" ht="14.4" customHeight="1" s="88"/>
    <row r="4742" ht="14.4" customHeight="1" s="88"/>
    <row r="4743" ht="14.4" customHeight="1" s="88"/>
    <row r="4744" ht="14.4" customHeight="1" s="88"/>
    <row r="4745" ht="14.4" customHeight="1" s="88"/>
    <row r="4746" ht="14.4" customHeight="1" s="88"/>
    <row r="4747" ht="14.4" customHeight="1" s="88"/>
    <row r="4748" ht="14.4" customHeight="1" s="88"/>
    <row r="4749" ht="14.4" customHeight="1" s="88"/>
    <row r="4750" ht="14.4" customHeight="1" s="88"/>
    <row r="4751" ht="14.4" customHeight="1" s="88"/>
    <row r="4752" ht="14.4" customHeight="1" s="88"/>
    <row r="4753" ht="14.4" customHeight="1" s="88"/>
    <row r="4754" ht="14.4" customHeight="1" s="88"/>
    <row r="4755" ht="14.4" customHeight="1" s="88"/>
    <row r="4756" ht="14.4" customHeight="1" s="88"/>
    <row r="4757" ht="14.4" customHeight="1" s="88"/>
    <row r="4758" ht="14.4" customHeight="1" s="88"/>
    <row r="4759" ht="14.4" customHeight="1" s="88"/>
    <row r="4760" ht="14.4" customHeight="1" s="88"/>
    <row r="4761" ht="14.4" customHeight="1" s="88"/>
    <row r="4762" ht="14.4" customHeight="1" s="88"/>
    <row r="4763" ht="14.4" customHeight="1" s="88"/>
    <row r="4764" ht="14.4" customHeight="1" s="88"/>
    <row r="4765" ht="14.4" customHeight="1" s="88"/>
    <row r="4766" ht="14.4" customHeight="1" s="88"/>
    <row r="4767" ht="14.4" customHeight="1" s="88"/>
    <row r="4768" ht="14.4" customHeight="1" s="88"/>
    <row r="4769" ht="14.4" customHeight="1" s="88"/>
    <row r="4770" ht="14.4" customHeight="1" s="88"/>
    <row r="4771" ht="14.4" customHeight="1" s="88"/>
    <row r="4772" ht="14.4" customHeight="1" s="88"/>
    <row r="4773" ht="14.4" customHeight="1" s="88"/>
    <row r="4774" ht="14.4" customHeight="1" s="88"/>
    <row r="4775" ht="14.4" customHeight="1" s="88"/>
    <row r="4776" ht="14.4" customHeight="1" s="88"/>
    <row r="4777" ht="14.4" customHeight="1" s="88"/>
    <row r="4778" ht="14.4" customHeight="1" s="88"/>
    <row r="4779" ht="14.4" customHeight="1" s="88"/>
    <row r="4780" ht="14.4" customHeight="1" s="88"/>
    <row r="4781" ht="14.4" customHeight="1" s="88"/>
    <row r="4782" ht="14.4" customHeight="1" s="88"/>
    <row r="4783" ht="14.4" customHeight="1" s="88"/>
    <row r="4784" ht="14.4" customHeight="1" s="88"/>
    <row r="4785" ht="14.4" customHeight="1" s="88"/>
    <row r="4786" ht="14.4" customHeight="1" s="88"/>
    <row r="4787" ht="14.4" customHeight="1" s="88"/>
    <row r="4788" ht="14.4" customHeight="1" s="88"/>
    <row r="4789" ht="14.4" customHeight="1" s="88"/>
    <row r="4790" ht="14.4" customHeight="1" s="88"/>
    <row r="4791" ht="14.4" customHeight="1" s="88"/>
    <row r="4792" ht="14.4" customHeight="1" s="88"/>
    <row r="4793" ht="14.4" customHeight="1" s="88"/>
    <row r="4794" ht="14.4" customHeight="1" s="88"/>
    <row r="4795" ht="14.4" customHeight="1" s="88"/>
    <row r="4796" ht="14.4" customHeight="1" s="88"/>
    <row r="4797" ht="14.4" customHeight="1" s="88"/>
    <row r="4798" ht="14.4" customHeight="1" s="88"/>
    <row r="4799" ht="14.4" customHeight="1" s="88"/>
    <row r="4800" ht="14.4" customHeight="1" s="88"/>
    <row r="4801" ht="14.4" customHeight="1" s="88"/>
    <row r="4802" ht="14.4" customHeight="1" s="88"/>
    <row r="4803" ht="14.4" customHeight="1" s="88"/>
    <row r="4804" ht="14.4" customHeight="1" s="88"/>
    <row r="4805" ht="14.4" customHeight="1" s="88"/>
    <row r="4806" ht="14.4" customHeight="1" s="88"/>
    <row r="4807" ht="14.4" customHeight="1" s="88"/>
    <row r="4808" ht="14.4" customHeight="1" s="88"/>
    <row r="4809" ht="14.4" customHeight="1" s="88"/>
    <row r="4810" ht="14.4" customHeight="1" s="88"/>
    <row r="4811" ht="14.4" customHeight="1" s="88"/>
    <row r="4812" ht="14.4" customHeight="1" s="88"/>
    <row r="4813" ht="14.4" customHeight="1" s="88"/>
    <row r="4814" ht="14.4" customHeight="1" s="88"/>
    <row r="4815" ht="14.4" customHeight="1" s="88"/>
    <row r="4816" ht="14.4" customHeight="1" s="88"/>
    <row r="4817" ht="14.4" customHeight="1" s="88"/>
    <row r="4818" ht="14.4" customHeight="1" s="88"/>
    <row r="4819" ht="14.4" customHeight="1" s="88"/>
    <row r="4820" ht="14.4" customHeight="1" s="88"/>
    <row r="4821" ht="14.4" customHeight="1" s="88"/>
    <row r="4822" ht="14.4" customHeight="1" s="88"/>
    <row r="4823" ht="14.4" customHeight="1" s="88"/>
    <row r="4824" ht="14.4" customHeight="1" s="88"/>
    <row r="4825" ht="14.4" customHeight="1" s="88"/>
    <row r="4826" ht="14.4" customHeight="1" s="88"/>
    <row r="4827" ht="14.4" customHeight="1" s="88"/>
    <row r="4828" ht="14.4" customHeight="1" s="88"/>
    <row r="4829" ht="14.4" customHeight="1" s="88"/>
    <row r="4830" ht="14.4" customHeight="1" s="88"/>
    <row r="4831" ht="14.4" customHeight="1" s="88"/>
    <row r="4832" ht="14.4" customHeight="1" s="88"/>
    <row r="4833" ht="14.4" customHeight="1" s="88"/>
    <row r="4834" ht="14.4" customHeight="1" s="88"/>
    <row r="4835" ht="14.4" customHeight="1" s="88"/>
    <row r="4836" ht="14.4" customHeight="1" s="88"/>
    <row r="4837" ht="14.4" customHeight="1" s="88"/>
    <row r="4838" ht="14.4" customHeight="1" s="88"/>
    <row r="4839" ht="14.4" customHeight="1" s="88"/>
    <row r="4840" ht="14.4" customHeight="1" s="88"/>
    <row r="4841" ht="14.4" customHeight="1" s="88"/>
    <row r="4842" ht="14.4" customHeight="1" s="88"/>
    <row r="4843" ht="14.4" customHeight="1" s="88"/>
    <row r="4844" ht="14.4" customHeight="1" s="88"/>
    <row r="4845" ht="14.4" customHeight="1" s="88"/>
    <row r="4846" ht="14.4" customHeight="1" s="88"/>
    <row r="4847" ht="14.4" customHeight="1" s="88"/>
    <row r="4848" ht="14.4" customHeight="1" s="88"/>
    <row r="4849" ht="14.4" customHeight="1" s="88"/>
    <row r="4850" ht="14.4" customHeight="1" s="88"/>
    <row r="4851" ht="14.4" customHeight="1" s="88"/>
    <row r="4852" ht="14.4" customHeight="1" s="88"/>
    <row r="4853" ht="14.4" customHeight="1" s="88"/>
    <row r="4854" ht="14.4" customHeight="1" s="88"/>
    <row r="4855" ht="14.4" customHeight="1" s="88"/>
    <row r="4856" ht="14.4" customHeight="1" s="88"/>
    <row r="4857" ht="14.4" customHeight="1" s="88"/>
    <row r="4858" ht="14.4" customHeight="1" s="88"/>
    <row r="4859" ht="14.4" customHeight="1" s="88"/>
    <row r="4860" ht="14.4" customHeight="1" s="88"/>
    <row r="4861" ht="14.4" customHeight="1" s="88"/>
    <row r="4862" ht="14.4" customHeight="1" s="88"/>
    <row r="4863" ht="14.4" customHeight="1" s="88"/>
    <row r="4864" ht="14.4" customHeight="1" s="88"/>
    <row r="4865" ht="14.4" customHeight="1" s="88"/>
    <row r="4866" ht="14.4" customHeight="1" s="88"/>
    <row r="4867" ht="14.4" customHeight="1" s="88"/>
    <row r="4868" ht="14.4" customHeight="1" s="88"/>
    <row r="4869" ht="14.4" customHeight="1" s="88"/>
    <row r="4870" ht="14.4" customHeight="1" s="88"/>
    <row r="4871" ht="14.4" customHeight="1" s="88"/>
    <row r="4872" ht="14.4" customHeight="1" s="88"/>
    <row r="4873" ht="14.4" customHeight="1" s="88"/>
    <row r="4874" ht="14.4" customHeight="1" s="88"/>
    <row r="4875" ht="14.4" customHeight="1" s="88"/>
    <row r="4876" ht="14.4" customHeight="1" s="88"/>
    <row r="4877" ht="14.4" customHeight="1" s="88"/>
    <row r="4878" ht="14.4" customHeight="1" s="88"/>
    <row r="4879" ht="14.4" customHeight="1" s="88"/>
    <row r="4880" ht="14.4" customHeight="1" s="88"/>
    <row r="4881" ht="14.4" customHeight="1" s="88"/>
    <row r="4882" ht="14.4" customHeight="1" s="88"/>
    <row r="4883" ht="14.4" customHeight="1" s="88"/>
    <row r="4884" ht="14.4" customHeight="1" s="88"/>
    <row r="4885" ht="14.4" customHeight="1" s="88"/>
    <row r="4886" ht="14.4" customHeight="1" s="88"/>
    <row r="4887" ht="14.4" customHeight="1" s="88"/>
    <row r="4888" ht="14.4" customHeight="1" s="88"/>
    <row r="4889" ht="14.4" customHeight="1" s="88"/>
    <row r="4890" ht="14.4" customHeight="1" s="88"/>
    <row r="4891" ht="14.4" customHeight="1" s="88"/>
    <row r="4892" ht="14.4" customHeight="1" s="88"/>
    <row r="4893" ht="14.4" customHeight="1" s="88"/>
    <row r="4894" ht="14.4" customHeight="1" s="88"/>
    <row r="4895" ht="14.4" customHeight="1" s="88"/>
    <row r="4896" ht="14.4" customHeight="1" s="88"/>
    <row r="4897" ht="14.4" customHeight="1" s="88"/>
    <row r="4898" ht="14.4" customHeight="1" s="88"/>
    <row r="4899" ht="14.4" customHeight="1" s="88"/>
    <row r="4900" ht="14.4" customHeight="1" s="88"/>
    <row r="4901" ht="14.4" customHeight="1" s="88"/>
    <row r="4902" ht="14.4" customHeight="1" s="88"/>
    <row r="4903" ht="14.4" customHeight="1" s="88"/>
    <row r="4904" ht="14.4" customHeight="1" s="88"/>
    <row r="4905" ht="14.4" customHeight="1" s="88"/>
    <row r="4906" ht="14.4" customHeight="1" s="88"/>
    <row r="4907" ht="14.4" customHeight="1" s="88"/>
    <row r="4908" ht="14.4" customHeight="1" s="88"/>
    <row r="4909" ht="14.4" customHeight="1" s="88"/>
    <row r="4910" ht="14.4" customHeight="1" s="88"/>
    <row r="4911" ht="14.4" customHeight="1" s="88"/>
    <row r="4912" ht="14.4" customHeight="1" s="88"/>
    <row r="4913" ht="14.4" customHeight="1" s="88"/>
    <row r="4914" ht="14.4" customHeight="1" s="88"/>
    <row r="4915" ht="14.4" customHeight="1" s="88"/>
    <row r="4916" ht="14.4" customHeight="1" s="88"/>
    <row r="4917" ht="14.4" customHeight="1" s="88"/>
    <row r="4918" ht="14.4" customHeight="1" s="88"/>
    <row r="4919" ht="14.4" customHeight="1" s="88"/>
    <row r="4920" ht="14.4" customHeight="1" s="88"/>
    <row r="4921" ht="14.4" customHeight="1" s="88"/>
    <row r="4922" ht="14.4" customHeight="1" s="88"/>
    <row r="4923" ht="14.4" customHeight="1" s="88"/>
    <row r="4924" ht="14.4" customHeight="1" s="88"/>
    <row r="4925" ht="14.4" customHeight="1" s="88"/>
    <row r="4926" ht="14.4" customHeight="1" s="88"/>
    <row r="4927" ht="14.4" customHeight="1" s="88"/>
    <row r="4928" ht="14.4" customHeight="1" s="88"/>
    <row r="4929" ht="14.4" customHeight="1" s="88"/>
    <row r="4930" ht="14.4" customHeight="1" s="88"/>
    <row r="4931" ht="14.4" customHeight="1" s="88"/>
    <row r="4932" ht="14.4" customHeight="1" s="88"/>
    <row r="4933" ht="14.4" customHeight="1" s="88"/>
    <row r="4934" ht="14.4" customHeight="1" s="88"/>
    <row r="4935" ht="14.4" customHeight="1" s="88"/>
    <row r="4936" ht="14.4" customHeight="1" s="88"/>
    <row r="4937" ht="14.4" customHeight="1" s="88"/>
    <row r="4938" ht="14.4" customHeight="1" s="88"/>
    <row r="4939" ht="14.4" customHeight="1" s="88"/>
    <row r="4940" ht="14.4" customHeight="1" s="88"/>
    <row r="4941" ht="14.4" customHeight="1" s="88"/>
    <row r="4942" ht="14.4" customHeight="1" s="88"/>
    <row r="4943" ht="14.4" customHeight="1" s="88"/>
    <row r="4944" ht="14.4" customHeight="1" s="88"/>
    <row r="4945" ht="14.4" customHeight="1" s="88"/>
    <row r="4946" ht="14.4" customHeight="1" s="88"/>
    <row r="4947" ht="14.4" customHeight="1" s="88"/>
    <row r="4948" ht="14.4" customHeight="1" s="88"/>
    <row r="4949" ht="14.4" customHeight="1" s="88"/>
    <row r="4950" ht="14.4" customHeight="1" s="88"/>
    <row r="4951" ht="14.4" customHeight="1" s="88"/>
    <row r="4952" ht="14.4" customHeight="1" s="88"/>
    <row r="4953" ht="14.4" customHeight="1" s="88"/>
    <row r="4954" ht="14.4" customHeight="1" s="88"/>
    <row r="4955" ht="14.4" customHeight="1" s="88"/>
    <row r="4956" ht="14.4" customHeight="1" s="88"/>
    <row r="4957" ht="14.4" customHeight="1" s="88"/>
    <row r="4958" ht="14.4" customHeight="1" s="88"/>
    <row r="4959" ht="14.4" customHeight="1" s="88"/>
    <row r="4960" ht="14.4" customHeight="1" s="88"/>
    <row r="4961" ht="14.4" customHeight="1" s="88"/>
    <row r="4962" ht="14.4" customHeight="1" s="88"/>
    <row r="4963" ht="14.4" customHeight="1" s="88"/>
    <row r="4964" ht="14.4" customHeight="1" s="88"/>
    <row r="4965" ht="14.4" customHeight="1" s="88"/>
    <row r="4966" ht="14.4" customHeight="1" s="88"/>
    <row r="4967" ht="14.4" customHeight="1" s="88"/>
    <row r="4968" ht="14.4" customHeight="1" s="88"/>
    <row r="4969" ht="14.4" customHeight="1" s="88"/>
    <row r="4970" ht="14.4" customHeight="1" s="88"/>
    <row r="4971" ht="14.4" customHeight="1" s="88"/>
    <row r="4972" ht="14.4" customHeight="1" s="88"/>
    <row r="4973" ht="14.4" customHeight="1" s="88"/>
    <row r="4974" ht="14.4" customHeight="1" s="88"/>
    <row r="4975" ht="14.4" customHeight="1" s="88"/>
    <row r="4976" ht="14.4" customHeight="1" s="88"/>
    <row r="4977" ht="14.4" customHeight="1" s="88"/>
    <row r="4978" ht="14.4" customHeight="1" s="88"/>
    <row r="4979" ht="14.4" customHeight="1" s="88"/>
    <row r="4980" ht="14.4" customHeight="1" s="88"/>
    <row r="4981" ht="14.4" customHeight="1" s="88"/>
    <row r="4982" ht="14.4" customHeight="1" s="88"/>
    <row r="4983" ht="14.4" customHeight="1" s="88"/>
    <row r="4984" ht="14.4" customHeight="1" s="88"/>
    <row r="4985" ht="14.4" customHeight="1" s="88"/>
    <row r="4986" ht="14.4" customHeight="1" s="88"/>
    <row r="4987" ht="14.4" customHeight="1" s="88"/>
    <row r="4988" ht="14.4" customHeight="1" s="88"/>
    <row r="4989" ht="14.4" customHeight="1" s="88"/>
    <row r="4990" ht="14.4" customHeight="1" s="88"/>
    <row r="4991" ht="14.4" customHeight="1" s="88"/>
    <row r="4992" ht="14.4" customHeight="1" s="88"/>
    <row r="4993" ht="14.4" customHeight="1" s="88"/>
    <row r="4994" ht="14.4" customHeight="1" s="88"/>
    <row r="4995" ht="14.4" customHeight="1" s="88"/>
    <row r="4996" ht="14.4" customHeight="1" s="88"/>
    <row r="4997" ht="14.4" customHeight="1" s="88"/>
    <row r="4998" ht="14.4" customHeight="1" s="88"/>
    <row r="4999" ht="14.4" customHeight="1" s="88"/>
    <row r="5000" ht="14.4" customHeight="1" s="88"/>
    <row r="5001" ht="14.4" customHeight="1" s="88"/>
    <row r="5002" ht="14.4" customHeight="1" s="88"/>
    <row r="5003" ht="14.4" customHeight="1" s="88"/>
    <row r="5004" ht="14.4" customHeight="1" s="88"/>
    <row r="5005" ht="14.4" customHeight="1" s="88"/>
    <row r="5006" ht="14.4" customHeight="1" s="88"/>
    <row r="5007" ht="14.4" customHeight="1" s="88"/>
    <row r="5008" ht="14.4" customHeight="1" s="88"/>
    <row r="5009" ht="14.4" customHeight="1" s="88"/>
    <row r="5010" ht="14.4" customHeight="1" s="88"/>
    <row r="5011" ht="14.4" customHeight="1" s="88"/>
    <row r="5012" ht="14.4" customHeight="1" s="88"/>
    <row r="5013" ht="14.4" customHeight="1" s="88"/>
    <row r="5014" ht="14.4" customHeight="1" s="88"/>
    <row r="5015" ht="14.4" customHeight="1" s="88"/>
    <row r="5016" ht="14.4" customHeight="1" s="88"/>
    <row r="5017" ht="14.4" customHeight="1" s="88"/>
    <row r="5018" ht="14.4" customHeight="1" s="88"/>
    <row r="5019" ht="14.4" customHeight="1" s="88"/>
    <row r="5020" ht="14.4" customHeight="1" s="88"/>
    <row r="5021" ht="14.4" customHeight="1" s="88"/>
    <row r="5022" ht="14.4" customHeight="1" s="88"/>
    <row r="5023" ht="14.4" customHeight="1" s="88"/>
    <row r="5024" ht="14.4" customHeight="1" s="88"/>
    <row r="5025" ht="14.4" customHeight="1" s="88"/>
    <row r="5026" ht="14.4" customHeight="1" s="88"/>
    <row r="5027" ht="14.4" customHeight="1" s="88"/>
    <row r="5028" ht="14.4" customHeight="1" s="88"/>
    <row r="5029" ht="14.4" customHeight="1" s="88"/>
    <row r="5030" ht="14.4" customHeight="1" s="88"/>
    <row r="5031" ht="14.4" customHeight="1" s="88"/>
    <row r="5032" ht="14.4" customHeight="1" s="88"/>
    <row r="5033" ht="14.4" customHeight="1" s="88"/>
    <row r="5034" ht="14.4" customHeight="1" s="88"/>
    <row r="5035" ht="14.4" customHeight="1" s="88"/>
    <row r="5036" ht="14.4" customHeight="1" s="88"/>
    <row r="5037" ht="14.4" customHeight="1" s="88"/>
    <row r="5038" ht="14.4" customHeight="1" s="88"/>
    <row r="5039" ht="14.4" customHeight="1" s="88"/>
    <row r="5040" ht="14.4" customHeight="1" s="88"/>
    <row r="5041" ht="14.4" customHeight="1" s="88"/>
    <row r="5042" ht="14.4" customHeight="1" s="88"/>
    <row r="5043" ht="14.4" customHeight="1" s="88"/>
    <row r="5044" ht="14.4" customHeight="1" s="88"/>
    <row r="5045" ht="14.4" customHeight="1" s="88"/>
    <row r="5046" ht="14.4" customHeight="1" s="88"/>
    <row r="5047" ht="14.4" customHeight="1" s="88"/>
    <row r="5048" ht="14.4" customHeight="1" s="88"/>
    <row r="5049" ht="14.4" customHeight="1" s="88"/>
    <row r="5050" ht="14.4" customHeight="1" s="88"/>
    <row r="5051" ht="14.4" customHeight="1" s="88"/>
    <row r="5052" ht="14.4" customHeight="1" s="88"/>
    <row r="5053" ht="14.4" customHeight="1" s="88"/>
    <row r="5054" ht="14.4" customHeight="1" s="88"/>
    <row r="5055" ht="14.4" customHeight="1" s="88"/>
    <row r="5056" ht="14.4" customHeight="1" s="88"/>
    <row r="5057" ht="14.4" customHeight="1" s="88"/>
    <row r="5058" ht="14.4" customHeight="1" s="88"/>
    <row r="5059" ht="14.4" customHeight="1" s="88"/>
    <row r="5060" ht="14.4" customHeight="1" s="88"/>
    <row r="5061" ht="14.4" customHeight="1" s="88"/>
    <row r="5062" ht="14.4" customHeight="1" s="88"/>
    <row r="5063" ht="14.4" customHeight="1" s="88"/>
    <row r="5064" ht="14.4" customHeight="1" s="88"/>
    <row r="5065" ht="14.4" customHeight="1" s="88"/>
    <row r="5066" ht="14.4" customHeight="1" s="88"/>
    <row r="5067" ht="14.4" customHeight="1" s="88"/>
    <row r="5068" ht="14.4" customHeight="1" s="88"/>
    <row r="5069" ht="14.4" customHeight="1" s="88"/>
    <row r="5070" ht="14.4" customHeight="1" s="88"/>
    <row r="5071" ht="14.4" customHeight="1" s="88"/>
    <row r="5072" ht="14.4" customHeight="1" s="88"/>
    <row r="5073" ht="14.4" customHeight="1" s="88"/>
    <row r="5074" ht="14.4" customHeight="1" s="88"/>
    <row r="5075" ht="14.4" customHeight="1" s="88"/>
    <row r="5076" ht="14.4" customHeight="1" s="88"/>
    <row r="5077" ht="14.4" customHeight="1" s="88"/>
    <row r="5078" ht="14.4" customHeight="1" s="88"/>
    <row r="5079" ht="14.4" customHeight="1" s="88"/>
    <row r="5080" ht="14.4" customHeight="1" s="88"/>
    <row r="5081" ht="14.4" customHeight="1" s="88"/>
    <row r="5082" ht="14.4" customHeight="1" s="88"/>
    <row r="5083" ht="14.4" customHeight="1" s="88"/>
    <row r="5084" ht="14.4" customHeight="1" s="88"/>
    <row r="5085" ht="14.4" customHeight="1" s="88"/>
    <row r="5086" ht="14.4" customHeight="1" s="88"/>
    <row r="5087" ht="14.4" customHeight="1" s="88"/>
    <row r="5088" ht="14.4" customHeight="1" s="88"/>
    <row r="5089" ht="14.4" customHeight="1" s="88"/>
    <row r="5090" ht="14.4" customHeight="1" s="88"/>
    <row r="5091" ht="14.4" customHeight="1" s="88"/>
    <row r="5092" ht="14.4" customHeight="1" s="88"/>
    <row r="5093" ht="14.4" customHeight="1" s="88"/>
    <row r="5094" ht="14.4" customHeight="1" s="88"/>
    <row r="5095" ht="14.4" customHeight="1" s="88"/>
    <row r="5096" ht="14.4" customHeight="1" s="88"/>
    <row r="5097" ht="14.4" customHeight="1" s="88"/>
    <row r="5098" ht="14.4" customHeight="1" s="88"/>
    <row r="5099" ht="14.4" customHeight="1" s="88"/>
    <row r="5100" ht="14.4" customHeight="1" s="88"/>
    <row r="5101" ht="14.4" customHeight="1" s="88"/>
    <row r="5102" ht="14.4" customHeight="1" s="88"/>
    <row r="5103" ht="14.4" customHeight="1" s="88"/>
    <row r="5104" ht="14.4" customHeight="1" s="88"/>
    <row r="5105" ht="14.4" customHeight="1" s="88"/>
    <row r="5106" ht="14.4" customHeight="1" s="88"/>
    <row r="5107" ht="14.4" customHeight="1" s="88"/>
    <row r="5108" ht="14.4" customHeight="1" s="88"/>
    <row r="5109" ht="14.4" customHeight="1" s="88"/>
    <row r="5110" ht="14.4" customHeight="1" s="88"/>
    <row r="5111" ht="14.4" customHeight="1" s="88"/>
    <row r="5112" ht="14.4" customHeight="1" s="88"/>
    <row r="5113" ht="14.4" customHeight="1" s="88"/>
    <row r="5114" ht="14.4" customHeight="1" s="88"/>
    <row r="5115" ht="14.4" customHeight="1" s="88"/>
    <row r="5116" ht="14.4" customHeight="1" s="88"/>
    <row r="5117" ht="14.4" customHeight="1" s="88"/>
    <row r="5118" ht="14.4" customHeight="1" s="88"/>
    <row r="5119" ht="14.4" customHeight="1" s="88"/>
    <row r="5120" ht="14.4" customHeight="1" s="88"/>
    <row r="5121" ht="14.4" customHeight="1" s="88"/>
    <row r="5122" ht="14.4" customHeight="1" s="88"/>
    <row r="5123" ht="14.4" customHeight="1" s="88"/>
    <row r="5124" ht="14.4" customHeight="1" s="88"/>
    <row r="5125" ht="14.4" customHeight="1" s="88"/>
    <row r="5126" ht="14.4" customHeight="1" s="88"/>
    <row r="5127" ht="14.4" customHeight="1" s="88"/>
    <row r="5128" ht="14.4" customHeight="1" s="88"/>
    <row r="5129" ht="14.4" customHeight="1" s="88"/>
    <row r="5130" ht="14.4" customHeight="1" s="88"/>
    <row r="5131" ht="14.4" customHeight="1" s="88"/>
    <row r="5132" ht="14.4" customHeight="1" s="88"/>
    <row r="5133" ht="14.4" customHeight="1" s="88"/>
    <row r="5134" ht="14.4" customHeight="1" s="88"/>
    <row r="5135" ht="14.4" customHeight="1" s="88"/>
    <row r="5136" ht="14.4" customHeight="1" s="88"/>
    <row r="5137" ht="14.4" customHeight="1" s="88"/>
    <row r="5138" ht="14.4" customHeight="1" s="88"/>
    <row r="5139" ht="14.4" customHeight="1" s="88"/>
    <row r="5140" ht="14.4" customHeight="1" s="88"/>
    <row r="5141" ht="14.4" customHeight="1" s="88"/>
    <row r="5142" ht="14.4" customHeight="1" s="88"/>
    <row r="5143" ht="14.4" customHeight="1" s="88"/>
    <row r="5144" ht="14.4" customHeight="1" s="88"/>
    <row r="5145" ht="14.4" customHeight="1" s="88"/>
    <row r="5146" ht="14.4" customHeight="1" s="88"/>
    <row r="5147" ht="14.4" customHeight="1" s="88"/>
    <row r="5148" ht="14.4" customHeight="1" s="88"/>
    <row r="5149" ht="14.4" customHeight="1" s="88"/>
    <row r="5150" ht="14.4" customHeight="1" s="88"/>
    <row r="5151" ht="14.4" customHeight="1" s="88"/>
    <row r="5152" ht="14.4" customHeight="1" s="88"/>
    <row r="5153" ht="14.4" customHeight="1" s="88"/>
    <row r="5154" ht="14.4" customHeight="1" s="88"/>
    <row r="5155" ht="14.4" customHeight="1" s="88"/>
    <row r="5156" ht="14.4" customHeight="1" s="88"/>
    <row r="5157" ht="14.4" customHeight="1" s="88"/>
    <row r="5158" ht="14.4" customHeight="1" s="88"/>
    <row r="5159" ht="14.4" customHeight="1" s="88"/>
    <row r="5160" ht="14.4" customHeight="1" s="88"/>
    <row r="5161" ht="14.4" customHeight="1" s="88"/>
    <row r="5162" ht="14.4" customHeight="1" s="88"/>
    <row r="5163" ht="14.4" customHeight="1" s="88"/>
    <row r="5164" ht="14.4" customHeight="1" s="88"/>
    <row r="5165" ht="14.4" customHeight="1" s="88"/>
    <row r="5166" ht="14.4" customHeight="1" s="88"/>
    <row r="5167" ht="14.4" customHeight="1" s="88"/>
    <row r="5168" ht="14.4" customHeight="1" s="88"/>
    <row r="5169" ht="14.4" customHeight="1" s="88"/>
    <row r="5170" ht="14.4" customHeight="1" s="88"/>
    <row r="5171" ht="14.4" customHeight="1" s="88"/>
    <row r="5172" ht="14.4" customHeight="1" s="88"/>
    <row r="5173" ht="14.4" customHeight="1" s="88"/>
    <row r="5174" ht="14.4" customHeight="1" s="88"/>
    <row r="5175" ht="14.4" customHeight="1" s="88"/>
    <row r="5176" ht="14.4" customHeight="1" s="88"/>
    <row r="5177" ht="14.4" customHeight="1" s="88"/>
    <row r="5178" ht="14.4" customHeight="1" s="88"/>
    <row r="5179" ht="14.4" customHeight="1" s="88"/>
    <row r="5180" ht="14.4" customHeight="1" s="88"/>
    <row r="5181" ht="14.4" customHeight="1" s="88"/>
    <row r="5182" ht="14.4" customHeight="1" s="88"/>
    <row r="5183" ht="14.4" customHeight="1" s="88"/>
    <row r="5184" ht="14.4" customHeight="1" s="88"/>
    <row r="5185" ht="14.4" customHeight="1" s="88"/>
    <row r="5186" ht="14.4" customHeight="1" s="88"/>
    <row r="5187" ht="14.4" customHeight="1" s="88"/>
    <row r="5188" ht="14.4" customHeight="1" s="88"/>
    <row r="5189" ht="14.4" customHeight="1" s="88"/>
    <row r="5190" ht="14.4" customHeight="1" s="88"/>
    <row r="5191" ht="14.4" customHeight="1" s="88"/>
    <row r="5192" ht="14.4" customHeight="1" s="88"/>
    <row r="5193" ht="14.4" customHeight="1" s="88"/>
    <row r="5194" ht="14.4" customHeight="1" s="88"/>
    <row r="5195" ht="14.4" customHeight="1" s="88"/>
    <row r="5196" ht="14.4" customHeight="1" s="88"/>
    <row r="5197" ht="14.4" customHeight="1" s="88"/>
    <row r="5198" ht="14.4" customHeight="1" s="88"/>
    <row r="5199" ht="14.4" customHeight="1" s="88"/>
    <row r="5200" ht="14.4" customHeight="1" s="88"/>
    <row r="5201" ht="14.4" customHeight="1" s="88"/>
    <row r="5202" ht="14.4" customHeight="1" s="88"/>
    <row r="5203" ht="14.4" customHeight="1" s="88"/>
    <row r="5204" ht="14.4" customHeight="1" s="88"/>
    <row r="5205" ht="14.4" customHeight="1" s="88"/>
    <row r="5206" ht="14.4" customHeight="1" s="88"/>
    <row r="5207" ht="14.4" customHeight="1" s="88"/>
    <row r="5208" ht="14.4" customHeight="1" s="88"/>
    <row r="5209" ht="14.4" customHeight="1" s="88"/>
    <row r="5210" ht="14.4" customHeight="1" s="88"/>
    <row r="5211" ht="14.4" customHeight="1" s="88"/>
    <row r="5212" ht="14.4" customHeight="1" s="88"/>
    <row r="5213" ht="14.4" customHeight="1" s="88"/>
    <row r="5214" ht="14.4" customHeight="1" s="88"/>
    <row r="5215" ht="14.4" customHeight="1" s="88"/>
    <row r="5216" ht="14.4" customHeight="1" s="88"/>
    <row r="5217" ht="14.4" customHeight="1" s="88"/>
    <row r="5218" ht="14.4" customHeight="1" s="88"/>
    <row r="5219" ht="14.4" customHeight="1" s="88"/>
    <row r="5220" ht="14.4" customHeight="1" s="88"/>
    <row r="5221" ht="14.4" customHeight="1" s="88"/>
    <row r="5222" ht="14.4" customHeight="1" s="88"/>
    <row r="5223" ht="14.4" customHeight="1" s="88"/>
    <row r="5224" ht="14.4" customHeight="1" s="88"/>
    <row r="5225" ht="14.4" customHeight="1" s="88"/>
    <row r="5226" ht="14.4" customHeight="1" s="88"/>
    <row r="5227" ht="14.4" customHeight="1" s="88"/>
    <row r="5228" ht="14.4" customHeight="1" s="88"/>
    <row r="5229" ht="14.4" customHeight="1" s="88"/>
    <row r="5230" ht="14.4" customHeight="1" s="88"/>
    <row r="5231" ht="14.4" customHeight="1" s="88"/>
    <row r="5232" ht="14.4" customHeight="1" s="88"/>
    <row r="5233" ht="14.4" customHeight="1" s="88"/>
    <row r="5234" ht="14.4" customHeight="1" s="88"/>
    <row r="5235" ht="14.4" customHeight="1" s="88"/>
    <row r="5236" ht="14.4" customHeight="1" s="88"/>
    <row r="5237" ht="14.4" customHeight="1" s="88"/>
    <row r="5238" ht="14.4" customHeight="1" s="88"/>
    <row r="5239" ht="14.4" customHeight="1" s="88"/>
    <row r="5240" ht="14.4" customHeight="1" s="88"/>
    <row r="5241" ht="14.4" customHeight="1" s="88"/>
    <row r="5242" ht="14.4" customHeight="1" s="88"/>
    <row r="5243" ht="14.4" customHeight="1" s="88"/>
    <row r="5244" ht="14.4" customHeight="1" s="88"/>
    <row r="5245" ht="14.4" customHeight="1" s="88"/>
    <row r="5246" ht="14.4" customHeight="1" s="88"/>
    <row r="5247" ht="14.4" customHeight="1" s="88"/>
    <row r="5248" ht="14.4" customHeight="1" s="88"/>
    <row r="5249" ht="14.4" customHeight="1" s="88"/>
    <row r="5250" ht="14.4" customHeight="1" s="88"/>
    <row r="5251" ht="14.4" customHeight="1" s="88"/>
    <row r="5252" ht="14.4" customHeight="1" s="88"/>
    <row r="5253" ht="14.4" customHeight="1" s="88"/>
    <row r="5254" ht="14.4" customHeight="1" s="88"/>
    <row r="5255" ht="14.4" customHeight="1" s="88"/>
    <row r="5256" ht="14.4" customHeight="1" s="88"/>
    <row r="5257" ht="14.4" customHeight="1" s="88"/>
    <row r="5258" ht="14.4" customHeight="1" s="88"/>
    <row r="5259" ht="14.4" customHeight="1" s="88"/>
    <row r="5260" ht="14.4" customHeight="1" s="88"/>
    <row r="5261" ht="14.4" customHeight="1" s="88"/>
    <row r="5262" ht="14.4" customHeight="1" s="88"/>
    <row r="5263" ht="14.4" customHeight="1" s="88"/>
    <row r="5264" ht="14.4" customHeight="1" s="88"/>
    <row r="5265" ht="14.4" customHeight="1" s="88"/>
    <row r="5266" ht="14.4" customHeight="1" s="88"/>
    <row r="5267" ht="14.4" customHeight="1" s="88"/>
    <row r="5268" ht="14.4" customHeight="1" s="88"/>
    <row r="5269" ht="14.4" customHeight="1" s="88"/>
    <row r="5270" ht="14.4" customHeight="1" s="88"/>
    <row r="5271" ht="14.4" customHeight="1" s="88"/>
    <row r="5272" ht="14.4" customHeight="1" s="88"/>
    <row r="5273" ht="14.4" customHeight="1" s="88"/>
    <row r="5274" ht="14.4" customHeight="1" s="88"/>
    <row r="5275" ht="14.4" customHeight="1" s="88"/>
    <row r="5276" ht="14.4" customHeight="1" s="88"/>
    <row r="5277" ht="14.4" customHeight="1" s="88"/>
    <row r="5278" ht="14.4" customHeight="1" s="88"/>
    <row r="5279" ht="14.4" customHeight="1" s="88"/>
    <row r="5280" ht="14.4" customHeight="1" s="88"/>
    <row r="5281" ht="14.4" customHeight="1" s="88"/>
    <row r="5282" ht="14.4" customHeight="1" s="88"/>
    <row r="5283" ht="14.4" customHeight="1" s="88"/>
    <row r="5284" ht="14.4" customHeight="1" s="88"/>
    <row r="5285" ht="14.4" customHeight="1" s="88"/>
    <row r="5286" ht="14.4" customHeight="1" s="88"/>
    <row r="5287" ht="14.4" customHeight="1" s="88"/>
    <row r="5288" ht="14.4" customHeight="1" s="88"/>
    <row r="5289" ht="14.4" customHeight="1" s="88"/>
    <row r="5290" ht="14.4" customHeight="1" s="88"/>
    <row r="5291" ht="14.4" customHeight="1" s="88"/>
    <row r="5292" ht="14.4" customHeight="1" s="88"/>
    <row r="5293" ht="14.4" customHeight="1" s="88"/>
    <row r="5294" ht="14.4" customHeight="1" s="88"/>
    <row r="5295" ht="14.4" customHeight="1" s="88"/>
    <row r="5296" ht="14.4" customHeight="1" s="88"/>
    <row r="5297" ht="14.4" customHeight="1" s="88"/>
    <row r="5298" ht="14.4" customHeight="1" s="88"/>
    <row r="5299" ht="14.4" customHeight="1" s="88"/>
    <row r="5300" ht="14.4" customHeight="1" s="88"/>
    <row r="5301" ht="14.4" customHeight="1" s="88"/>
    <row r="5302" ht="14.4" customHeight="1" s="88"/>
    <row r="5303" ht="14.4" customHeight="1" s="88"/>
    <row r="5304" ht="14.4" customHeight="1" s="88"/>
    <row r="5305" ht="14.4" customHeight="1" s="88"/>
    <row r="5306" ht="14.4" customHeight="1" s="88"/>
    <row r="5307" ht="14.4" customHeight="1" s="88"/>
    <row r="5308" ht="14.4" customHeight="1" s="88"/>
    <row r="5309" ht="14.4" customHeight="1" s="88"/>
    <row r="5310" ht="14.4" customHeight="1" s="88"/>
    <row r="5311" ht="14.4" customHeight="1" s="88"/>
    <row r="5312" ht="14.4" customHeight="1" s="88"/>
    <row r="5313" ht="14.4" customHeight="1" s="88"/>
    <row r="5314" ht="14.4" customHeight="1" s="88"/>
    <row r="5315" ht="14.4" customHeight="1" s="88"/>
    <row r="5316" ht="14.4" customHeight="1" s="88"/>
    <row r="5317" ht="14.4" customHeight="1" s="88"/>
    <row r="5318" ht="14.4" customHeight="1" s="88"/>
    <row r="5319" ht="14.4" customHeight="1" s="88"/>
    <row r="5320" ht="14.4" customHeight="1" s="88"/>
    <row r="5321" ht="14.4" customHeight="1" s="88"/>
    <row r="5322" ht="14.4" customHeight="1" s="88"/>
    <row r="5323" ht="14.4" customHeight="1" s="88"/>
    <row r="5324" ht="14.4" customHeight="1" s="88"/>
    <row r="5325" ht="14.4" customHeight="1" s="88"/>
    <row r="5326" ht="14.4" customHeight="1" s="88"/>
    <row r="5327" ht="14.4" customHeight="1" s="88"/>
    <row r="5328" ht="14.4" customHeight="1" s="88"/>
    <row r="5329" ht="14.4" customHeight="1" s="88"/>
    <row r="5330" ht="14.4" customHeight="1" s="88"/>
    <row r="5331" ht="14.4" customHeight="1" s="88"/>
    <row r="5332" ht="14.4" customHeight="1" s="88"/>
    <row r="5333" ht="14.4" customHeight="1" s="88"/>
    <row r="5334" ht="14.4" customHeight="1" s="88"/>
    <row r="5335" ht="14.4" customHeight="1" s="88"/>
    <row r="5336" ht="14.4" customHeight="1" s="88"/>
    <row r="5337" ht="14.4" customHeight="1" s="88"/>
    <row r="5338" ht="14.4" customHeight="1" s="88"/>
    <row r="5339" ht="14.4" customHeight="1" s="88"/>
    <row r="5340" ht="14.4" customHeight="1" s="88"/>
    <row r="5341" ht="14.4" customHeight="1" s="88"/>
    <row r="5342" ht="14.4" customHeight="1" s="88"/>
    <row r="5343" ht="14.4" customHeight="1" s="88"/>
    <row r="5344" ht="14.4" customHeight="1" s="88"/>
    <row r="5345" ht="14.4" customHeight="1" s="88"/>
    <row r="5346" ht="14.4" customHeight="1" s="88"/>
    <row r="5347" ht="14.4" customHeight="1" s="88"/>
    <row r="5348" ht="14.4" customHeight="1" s="88"/>
    <row r="5349" ht="14.4" customHeight="1" s="88"/>
    <row r="5350" ht="14.4" customHeight="1" s="88"/>
    <row r="5351" ht="14.4" customHeight="1" s="88"/>
    <row r="5352" ht="14.4" customHeight="1" s="88"/>
    <row r="5353" ht="14.4" customHeight="1" s="88"/>
    <row r="5354" ht="14.4" customHeight="1" s="88"/>
    <row r="5355" ht="14.4" customHeight="1" s="88"/>
    <row r="5356" ht="14.4" customHeight="1" s="88"/>
    <row r="5357" ht="14.4" customHeight="1" s="88"/>
    <row r="5358" ht="14.4" customHeight="1" s="88"/>
    <row r="5359" ht="14.4" customHeight="1" s="88"/>
    <row r="5360" ht="14.4" customHeight="1" s="88"/>
    <row r="5361" ht="14.4" customHeight="1" s="88"/>
    <row r="5362" ht="14.4" customHeight="1" s="88"/>
    <row r="5363" ht="14.4" customHeight="1" s="88"/>
    <row r="5364" ht="14.4" customHeight="1" s="88"/>
    <row r="5365" ht="14.4" customHeight="1" s="88"/>
    <row r="5366" ht="14.4" customHeight="1" s="88"/>
    <row r="5367" ht="14.4" customHeight="1" s="88"/>
    <row r="5368" ht="14.4" customHeight="1" s="88"/>
    <row r="5369" ht="14.4" customHeight="1" s="88"/>
    <row r="5370" ht="14.4" customHeight="1" s="88"/>
    <row r="5371" ht="14.4" customHeight="1" s="88"/>
    <row r="5372" ht="14.4" customHeight="1" s="88"/>
    <row r="5373" ht="14.4" customHeight="1" s="88"/>
    <row r="5374" ht="14.4" customHeight="1" s="88"/>
    <row r="5375" ht="14.4" customHeight="1" s="88"/>
    <row r="5376" ht="14.4" customHeight="1" s="88"/>
    <row r="5377" ht="14.4" customHeight="1" s="88"/>
    <row r="5378" ht="14.4" customHeight="1" s="88"/>
    <row r="5379" ht="14.4" customHeight="1" s="88"/>
    <row r="5380" ht="14.4" customHeight="1" s="88"/>
    <row r="5381" ht="14.4" customHeight="1" s="88"/>
    <row r="5382" ht="14.4" customHeight="1" s="88"/>
    <row r="5383" ht="14.4" customHeight="1" s="88"/>
    <row r="5384" ht="14.4" customHeight="1" s="88"/>
    <row r="5385" ht="14.4" customHeight="1" s="88"/>
    <row r="5386" ht="14.4" customHeight="1" s="88"/>
    <row r="5387" ht="14.4" customHeight="1" s="88"/>
    <row r="5388" ht="14.4" customHeight="1" s="88"/>
    <row r="5389" ht="14.4" customHeight="1" s="88"/>
    <row r="5390" ht="14.4" customHeight="1" s="88"/>
    <row r="5391" ht="14.4" customHeight="1" s="88"/>
    <row r="5392" ht="14.4" customHeight="1" s="88"/>
    <row r="5393" ht="14.4" customHeight="1" s="88"/>
    <row r="5394" ht="14.4" customHeight="1" s="88"/>
    <row r="5395" ht="14.4" customHeight="1" s="88"/>
    <row r="5396" ht="14.4" customHeight="1" s="88"/>
    <row r="5397" ht="14.4" customHeight="1" s="88"/>
    <row r="5398" ht="14.4" customHeight="1" s="88"/>
    <row r="5399" ht="14.4" customHeight="1" s="88"/>
    <row r="5400" ht="14.4" customHeight="1" s="88"/>
    <row r="5401" ht="14.4" customHeight="1" s="88"/>
    <row r="5402" ht="14.4" customHeight="1" s="88"/>
    <row r="5403" ht="14.4" customHeight="1" s="88"/>
    <row r="5404" ht="14.4" customHeight="1" s="88"/>
    <row r="5405" ht="14.4" customHeight="1" s="88"/>
    <row r="5406" ht="14.4" customHeight="1" s="88"/>
    <row r="5407" ht="14.4" customHeight="1" s="88"/>
    <row r="5408" ht="14.4" customHeight="1" s="88"/>
    <row r="5409" ht="14.4" customHeight="1" s="88"/>
    <row r="5410" ht="14.4" customHeight="1" s="88"/>
    <row r="5411" ht="14.4" customHeight="1" s="88"/>
    <row r="5412" ht="14.4" customHeight="1" s="88"/>
    <row r="5413" ht="14.4" customHeight="1" s="88"/>
    <row r="5414" ht="14.4" customHeight="1" s="88"/>
    <row r="5415" ht="14.4" customHeight="1" s="88"/>
    <row r="5416" ht="14.4" customHeight="1" s="88"/>
    <row r="5417" ht="14.4" customHeight="1" s="88"/>
    <row r="5418" ht="14.4" customHeight="1" s="88"/>
    <row r="5419" ht="14.4" customHeight="1" s="88"/>
    <row r="5420" ht="14.4" customHeight="1" s="88"/>
    <row r="5421" ht="14.4" customHeight="1" s="88"/>
    <row r="5422" ht="14.4" customHeight="1" s="88"/>
    <row r="5423" ht="14.4" customHeight="1" s="88"/>
    <row r="5424" ht="14.4" customHeight="1" s="88"/>
    <row r="5425" ht="14.4" customHeight="1" s="88"/>
    <row r="5426" ht="14.4" customHeight="1" s="88"/>
    <row r="5427" ht="14.4" customHeight="1" s="88"/>
    <row r="5428" ht="14.4" customHeight="1" s="88"/>
    <row r="5429" ht="14.4" customHeight="1" s="88"/>
    <row r="5430" ht="14.4" customHeight="1" s="88"/>
    <row r="5431" ht="14.4" customHeight="1" s="88"/>
    <row r="5432" ht="14.4" customHeight="1" s="88"/>
    <row r="5433" ht="14.4" customHeight="1" s="88"/>
    <row r="5434" ht="14.4" customHeight="1" s="88"/>
    <row r="5435" ht="14.4" customHeight="1" s="88"/>
    <row r="5436" ht="14.4" customHeight="1" s="88"/>
    <row r="5437" ht="14.4" customHeight="1" s="88"/>
    <row r="5438" ht="14.4" customHeight="1" s="88"/>
    <row r="5439" ht="14.4" customHeight="1" s="88"/>
    <row r="5440" ht="14.4" customHeight="1" s="88"/>
    <row r="5441" ht="14.4" customHeight="1" s="88"/>
    <row r="5442" ht="14.4" customHeight="1" s="88"/>
    <row r="5443" ht="14.4" customHeight="1" s="88"/>
    <row r="5444" ht="14.4" customHeight="1" s="88"/>
    <row r="5445" ht="14.4" customHeight="1" s="88"/>
    <row r="5446" ht="14.4" customHeight="1" s="88"/>
    <row r="5447" ht="14.4" customHeight="1" s="88"/>
    <row r="5448" ht="14.4" customHeight="1" s="88"/>
    <row r="5449" ht="14.4" customHeight="1" s="88"/>
    <row r="5450" ht="14.4" customHeight="1" s="88"/>
    <row r="5451" ht="14.4" customHeight="1" s="88"/>
    <row r="5452" ht="14.4" customHeight="1" s="88"/>
    <row r="5453" ht="14.4" customHeight="1" s="88"/>
    <row r="5454" ht="14.4" customHeight="1" s="88"/>
    <row r="5455" ht="14.4" customHeight="1" s="88"/>
    <row r="5456" ht="14.4" customHeight="1" s="88"/>
    <row r="5457" ht="14.4" customHeight="1" s="88"/>
    <row r="5458" ht="14.4" customHeight="1" s="88"/>
    <row r="5459" ht="14.4" customHeight="1" s="88"/>
    <row r="5460" ht="14.4" customHeight="1" s="88"/>
    <row r="5461" ht="14.4" customHeight="1" s="88"/>
    <row r="5462" ht="14.4" customHeight="1" s="88"/>
    <row r="5463" ht="14.4" customHeight="1" s="88"/>
    <row r="5464" ht="14.4" customHeight="1" s="88"/>
    <row r="5465" ht="14.4" customHeight="1" s="88"/>
    <row r="5466" ht="14.4" customHeight="1" s="88"/>
    <row r="5467" ht="14.4" customHeight="1" s="88"/>
    <row r="5468" ht="14.4" customHeight="1" s="88"/>
    <row r="5469" ht="14.4" customHeight="1" s="88"/>
    <row r="5470" ht="14.4" customHeight="1" s="88"/>
    <row r="5471" ht="14.4" customHeight="1" s="88"/>
    <row r="5472" ht="14.4" customHeight="1" s="88"/>
    <row r="5473" ht="14.4" customHeight="1" s="88"/>
    <row r="5474" ht="14.4" customHeight="1" s="88"/>
    <row r="5475" ht="14.4" customHeight="1" s="88"/>
    <row r="5476" ht="14.4" customHeight="1" s="88"/>
    <row r="5477" ht="14.4" customHeight="1" s="88"/>
    <row r="5478" ht="14.4" customHeight="1" s="88"/>
    <row r="5479" ht="14.4" customHeight="1" s="88"/>
    <row r="5480" ht="14.4" customHeight="1" s="88"/>
    <row r="5481" ht="14.4" customHeight="1" s="88"/>
    <row r="5482" ht="14.4" customHeight="1" s="88"/>
    <row r="5483" ht="14.4" customHeight="1" s="88"/>
    <row r="5484" ht="14.4" customHeight="1" s="88"/>
    <row r="5485" ht="14.4" customHeight="1" s="88"/>
    <row r="5486" ht="14.4" customHeight="1" s="88"/>
    <row r="5487" ht="14.4" customHeight="1" s="88"/>
    <row r="5488" ht="14.4" customHeight="1" s="88"/>
    <row r="5489" ht="14.4" customHeight="1" s="88"/>
    <row r="5490" ht="14.4" customHeight="1" s="88"/>
    <row r="5491" ht="14.4" customHeight="1" s="88"/>
    <row r="5492" ht="14.4" customHeight="1" s="88"/>
    <row r="5493" ht="14.4" customHeight="1" s="88"/>
    <row r="5494" ht="14.4" customHeight="1" s="88"/>
    <row r="5495" ht="14.4" customHeight="1" s="88"/>
    <row r="5496" ht="14.4" customHeight="1" s="88"/>
    <row r="5497" ht="14.4" customHeight="1" s="88"/>
    <row r="5498" ht="14.4" customHeight="1" s="88"/>
    <row r="5499" ht="14.4" customHeight="1" s="88"/>
    <row r="5500" ht="14.4" customHeight="1" s="88"/>
    <row r="5501" ht="14.4" customHeight="1" s="88"/>
    <row r="5502" ht="14.4" customHeight="1" s="88"/>
    <row r="5503" ht="14.4" customHeight="1" s="88"/>
    <row r="5504" ht="14.4" customHeight="1" s="88"/>
    <row r="5505" ht="14.4" customHeight="1" s="88"/>
    <row r="5506" ht="14.4" customHeight="1" s="88"/>
    <row r="5507" ht="14.4" customHeight="1" s="88"/>
    <row r="5508" ht="14.4" customHeight="1" s="88"/>
    <row r="5509" ht="14.4" customHeight="1" s="88"/>
    <row r="5510" ht="14.4" customHeight="1" s="88"/>
    <row r="5511" ht="14.4" customHeight="1" s="88"/>
    <row r="5512" ht="14.4" customHeight="1" s="88"/>
    <row r="5513" ht="14.4" customHeight="1" s="88"/>
    <row r="5514" ht="14.4" customHeight="1" s="88"/>
    <row r="5515" ht="14.4" customHeight="1" s="88"/>
    <row r="5516" ht="14.4" customHeight="1" s="88"/>
    <row r="5517" ht="14.4" customHeight="1" s="88"/>
    <row r="5518" ht="14.4" customHeight="1" s="88"/>
    <row r="5519" ht="14.4" customHeight="1" s="88"/>
    <row r="5520" ht="14.4" customHeight="1" s="88"/>
    <row r="5521" ht="14.4" customHeight="1" s="88"/>
    <row r="5522" ht="14.4" customHeight="1" s="88"/>
    <row r="5523" ht="14.4" customHeight="1" s="88"/>
    <row r="5524" ht="14.4" customHeight="1" s="88"/>
    <row r="5525" ht="14.4" customHeight="1" s="88"/>
    <row r="5526" ht="14.4" customHeight="1" s="88"/>
    <row r="5527" ht="14.4" customHeight="1" s="88"/>
    <row r="5528" ht="14.4" customHeight="1" s="88"/>
    <row r="5529" ht="14.4" customHeight="1" s="88"/>
    <row r="5530" ht="14.4" customHeight="1" s="88"/>
    <row r="5531" ht="14.4" customHeight="1" s="88"/>
    <row r="5532" ht="14.4" customHeight="1" s="88"/>
    <row r="5533" ht="14.4" customHeight="1" s="88"/>
    <row r="5534" ht="14.4" customHeight="1" s="88"/>
    <row r="5535" ht="14.4" customHeight="1" s="88"/>
    <row r="5536" ht="14.4" customHeight="1" s="88"/>
    <row r="5537" ht="14.4" customHeight="1" s="88"/>
    <row r="5538" ht="14.4" customHeight="1" s="88"/>
    <row r="5539" ht="14.4" customHeight="1" s="88"/>
    <row r="5540" ht="14.4" customHeight="1" s="88"/>
    <row r="5541" ht="14.4" customHeight="1" s="88"/>
    <row r="5542" ht="14.4" customHeight="1" s="88"/>
    <row r="5543" ht="14.4" customHeight="1" s="88"/>
    <row r="5544" ht="14.4" customHeight="1" s="88"/>
    <row r="5545" ht="14.4" customHeight="1" s="88"/>
    <row r="5546" ht="14.4" customHeight="1" s="88"/>
    <row r="5547" ht="14.4" customHeight="1" s="88"/>
    <row r="5548" ht="14.4" customHeight="1" s="88"/>
    <row r="5549" ht="14.4" customHeight="1" s="88"/>
    <row r="5550" ht="14.4" customHeight="1" s="88"/>
    <row r="5551" ht="14.4" customHeight="1" s="88"/>
    <row r="5552" ht="14.4" customHeight="1" s="88"/>
    <row r="5553" ht="14.4" customHeight="1" s="88"/>
    <row r="5554" ht="14.4" customHeight="1" s="88"/>
    <row r="5555" ht="14.4" customHeight="1" s="88"/>
    <row r="5556" ht="14.4" customHeight="1" s="88"/>
    <row r="5557" ht="14.4" customHeight="1" s="88"/>
    <row r="5558" ht="14.4" customHeight="1" s="88"/>
    <row r="5559" ht="14.4" customHeight="1" s="88"/>
    <row r="5560" ht="14.4" customHeight="1" s="88"/>
    <row r="5561" ht="14.4" customHeight="1" s="88"/>
    <row r="5562" ht="14.4" customHeight="1" s="88"/>
    <row r="5563" ht="14.4" customHeight="1" s="88"/>
    <row r="5564" ht="14.4" customHeight="1" s="88"/>
    <row r="5565" ht="14.4" customHeight="1" s="88"/>
    <row r="5566" ht="14.4" customHeight="1" s="88"/>
    <row r="5567" ht="14.4" customHeight="1" s="88"/>
    <row r="5568" ht="14.4" customHeight="1" s="88"/>
    <row r="5569" ht="14.4" customHeight="1" s="88"/>
    <row r="5570" ht="14.4" customHeight="1" s="88"/>
    <row r="5571" ht="14.4" customHeight="1" s="88"/>
    <row r="5572" ht="14.4" customHeight="1" s="88"/>
    <row r="5573" ht="14.4" customHeight="1" s="88"/>
    <row r="5574" ht="14.4" customHeight="1" s="88"/>
    <row r="5575" ht="14.4" customHeight="1" s="88"/>
    <row r="5576" ht="14.4" customHeight="1" s="88"/>
    <row r="5577" ht="14.4" customHeight="1" s="88"/>
    <row r="5578" ht="14.4" customHeight="1" s="88"/>
    <row r="5579" ht="14.4" customHeight="1" s="88"/>
    <row r="5580" ht="14.4" customHeight="1" s="88"/>
    <row r="5581" ht="14.4" customHeight="1" s="88"/>
    <row r="5582" ht="14.4" customHeight="1" s="88"/>
    <row r="5583" ht="14.4" customHeight="1" s="88"/>
    <row r="5584" ht="14.4" customHeight="1" s="88"/>
    <row r="5585" ht="14.4" customHeight="1" s="88"/>
    <row r="5586" ht="14.4" customHeight="1" s="88"/>
    <row r="5587" ht="14.4" customHeight="1" s="88"/>
    <row r="5588" ht="14.4" customHeight="1" s="88"/>
    <row r="5589" ht="14.4" customHeight="1" s="88"/>
    <row r="5590" ht="14.4" customHeight="1" s="88"/>
    <row r="5591" ht="14.4" customHeight="1" s="88"/>
    <row r="5592" ht="14.4" customHeight="1" s="88"/>
    <row r="5593" ht="14.4" customHeight="1" s="88"/>
    <row r="5594" ht="14.4" customHeight="1" s="88"/>
    <row r="5595" ht="14.4" customHeight="1" s="88"/>
    <row r="5596" ht="14.4" customHeight="1" s="88"/>
    <row r="5597" ht="14.4" customHeight="1" s="88"/>
    <row r="5598" ht="14.4" customHeight="1" s="88"/>
    <row r="5599" ht="14.4" customHeight="1" s="88"/>
    <row r="5600" ht="14.4" customHeight="1" s="88"/>
    <row r="5601" ht="14.4" customHeight="1" s="88"/>
    <row r="5602" ht="14.4" customHeight="1" s="88"/>
    <row r="5603" ht="14.4" customHeight="1" s="88"/>
    <row r="5604" ht="14.4" customHeight="1" s="88"/>
    <row r="5605" ht="14.4" customHeight="1" s="88"/>
    <row r="5606" ht="14.4" customHeight="1" s="88"/>
    <row r="5607" ht="14.4" customHeight="1" s="88"/>
    <row r="5608" ht="14.4" customHeight="1" s="88"/>
    <row r="5609" ht="14.4" customHeight="1" s="88"/>
    <row r="5610" ht="14.4" customHeight="1" s="88"/>
    <row r="5611" ht="14.4" customHeight="1" s="88"/>
    <row r="5612" ht="14.4" customHeight="1" s="88"/>
    <row r="5613" ht="14.4" customHeight="1" s="88"/>
    <row r="5614" ht="14.4" customHeight="1" s="88"/>
    <row r="5615" ht="14.4" customHeight="1" s="88"/>
    <row r="5616" ht="14.4" customHeight="1" s="88"/>
    <row r="5617" ht="14.4" customHeight="1" s="88"/>
    <row r="5618" ht="14.4" customHeight="1" s="88"/>
    <row r="5619" ht="14.4" customHeight="1" s="88"/>
    <row r="5620" ht="14.4" customHeight="1" s="88"/>
    <row r="5621" ht="14.4" customHeight="1" s="88"/>
    <row r="5622" ht="14.4" customHeight="1" s="88"/>
    <row r="5623" ht="14.4" customHeight="1" s="88"/>
    <row r="5624" ht="14.4" customHeight="1" s="88"/>
    <row r="5625" ht="14.4" customHeight="1" s="88"/>
    <row r="5626" ht="14.4" customHeight="1" s="88"/>
    <row r="5627" ht="14.4" customHeight="1" s="88"/>
    <row r="5628" ht="14.4" customHeight="1" s="88"/>
    <row r="5629" ht="14.4" customHeight="1" s="88"/>
    <row r="5630" ht="14.4" customHeight="1" s="88"/>
    <row r="5631" ht="14.4" customHeight="1" s="88"/>
    <row r="5632" ht="14.4" customHeight="1" s="88"/>
    <row r="5633" ht="14.4" customHeight="1" s="88"/>
    <row r="5634" ht="14.4" customHeight="1" s="88"/>
    <row r="5635" ht="14.4" customHeight="1" s="88"/>
    <row r="5636" ht="14.4" customHeight="1" s="88"/>
    <row r="5637" ht="14.4" customHeight="1" s="88"/>
    <row r="5638" ht="14.4" customHeight="1" s="88"/>
    <row r="5639" ht="14.4" customHeight="1" s="88"/>
    <row r="5640" ht="14.4" customHeight="1" s="88"/>
    <row r="5641" ht="14.4" customHeight="1" s="88"/>
    <row r="5642" ht="14.4" customHeight="1" s="88"/>
    <row r="5643" ht="14.4" customHeight="1" s="88"/>
    <row r="5644" ht="14.4" customHeight="1" s="88"/>
    <row r="5645" ht="14.4" customHeight="1" s="88"/>
    <row r="5646" ht="14.4" customHeight="1" s="88"/>
    <row r="5647" ht="14.4" customHeight="1" s="88"/>
    <row r="5648" ht="14.4" customHeight="1" s="88"/>
    <row r="5649" ht="14.4" customHeight="1" s="88"/>
    <row r="5650" ht="14.4" customHeight="1" s="88"/>
    <row r="5651" ht="14.4" customHeight="1" s="88"/>
    <row r="5652" ht="14.4" customHeight="1" s="88"/>
    <row r="5653" ht="14.4" customHeight="1" s="88"/>
    <row r="5654" ht="14.4" customHeight="1" s="88"/>
    <row r="5655" ht="14.4" customHeight="1" s="88"/>
    <row r="5656" ht="14.4" customHeight="1" s="88"/>
    <row r="5657" ht="14.4" customHeight="1" s="88"/>
    <row r="5658" ht="14.4" customHeight="1" s="88"/>
    <row r="5659" ht="14.4" customHeight="1" s="88"/>
    <row r="5660" ht="14.4" customHeight="1" s="88"/>
    <row r="5661" ht="14.4" customHeight="1" s="88"/>
    <row r="5662" ht="14.4" customHeight="1" s="88"/>
    <row r="5663" ht="14.4" customHeight="1" s="88"/>
    <row r="5664" ht="14.4" customHeight="1" s="88"/>
    <row r="5665" ht="14.4" customHeight="1" s="88"/>
    <row r="5666" ht="14.4" customHeight="1" s="88"/>
    <row r="5667" ht="14.4" customHeight="1" s="88"/>
    <row r="5668" ht="14.4" customHeight="1" s="88"/>
    <row r="5669" ht="14.4" customHeight="1" s="88"/>
    <row r="5670" ht="14.4" customHeight="1" s="88"/>
    <row r="5671" ht="14.4" customHeight="1" s="88"/>
    <row r="5672" ht="14.4" customHeight="1" s="88"/>
    <row r="5673" ht="14.4" customHeight="1" s="88"/>
    <row r="5674" ht="14.4" customHeight="1" s="88"/>
    <row r="5675" ht="14.4" customHeight="1" s="88"/>
    <row r="5676" ht="14.4" customHeight="1" s="88"/>
    <row r="5677" ht="14.4" customHeight="1" s="88"/>
    <row r="5678" ht="14.4" customHeight="1" s="88"/>
    <row r="5679" ht="14.4" customHeight="1" s="88"/>
    <row r="5680" ht="14.4" customHeight="1" s="88"/>
    <row r="5681" ht="14.4" customHeight="1" s="88"/>
    <row r="5682" ht="14.4" customHeight="1" s="88"/>
    <row r="5683" ht="14.4" customHeight="1" s="88"/>
    <row r="5684" ht="14.4" customHeight="1" s="88"/>
    <row r="5685" ht="14.4" customHeight="1" s="88"/>
    <row r="5686" ht="14.4" customHeight="1" s="88"/>
    <row r="5687" ht="14.4" customHeight="1" s="88"/>
    <row r="5688" ht="14.4" customHeight="1" s="88"/>
    <row r="5689" ht="14.4" customHeight="1" s="88"/>
    <row r="5690" ht="14.4" customHeight="1" s="88"/>
    <row r="5691" ht="14.4" customHeight="1" s="88"/>
    <row r="5692" ht="14.4" customHeight="1" s="88"/>
    <row r="5693" ht="14.4" customHeight="1" s="88"/>
    <row r="5694" ht="14.4" customHeight="1" s="88"/>
    <row r="5695" ht="14.4" customHeight="1" s="88"/>
    <row r="5696" ht="14.4" customHeight="1" s="88"/>
    <row r="5697" ht="14.4" customHeight="1" s="88"/>
    <row r="5698" ht="14.4" customHeight="1" s="88"/>
    <row r="5699" ht="14.4" customHeight="1" s="88"/>
    <row r="5700" ht="14.4" customHeight="1" s="88"/>
    <row r="5701" ht="14.4" customHeight="1" s="88"/>
    <row r="5702" ht="14.4" customHeight="1" s="88"/>
    <row r="5703" ht="14.4" customHeight="1" s="88"/>
    <row r="5704" ht="14.4" customHeight="1" s="88"/>
    <row r="5705" ht="14.4" customHeight="1" s="88"/>
    <row r="5706" ht="14.4" customHeight="1" s="88"/>
    <row r="5707" ht="14.4" customHeight="1" s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80"/>
  <sheetViews>
    <sheetView workbookViewId="0">
      <pane ySplit="3" topLeftCell="A45" activePane="bottomLeft" state="frozen"/>
      <selection activeCell="A1" sqref="A1"/>
      <selection pane="bottomLeft" activeCell="H59" sqref="H59:I59"/>
    </sheetView>
  </sheetViews>
  <sheetFormatPr baseColWidth="8" defaultColWidth="9.138888888888889" defaultRowHeight="15"/>
  <cols>
    <col width="11.4259259259259" customWidth="1" style="126" min="1" max="1"/>
    <col width="9.138888888888889" customWidth="1" style="126" min="2" max="2"/>
    <col width="17" customWidth="1" style="126" min="3" max="3"/>
    <col width="13.8611111111111" customWidth="1" style="126" min="4" max="4"/>
    <col width="12.287037037037" customWidth="1" style="126" min="5" max="5"/>
    <col width="11.1111111111111" customWidth="1" style="126" min="6" max="6"/>
    <col width="12.4259259259259" customWidth="1" style="126" min="7" max="7"/>
    <col width="11.1111111111111" customWidth="1" style="126" min="8" max="8"/>
    <col width="14" customWidth="1" style="126" min="9" max="9"/>
    <col hidden="1" width="52.287037037037" customWidth="1" style="126" min="10" max="10"/>
    <col width="8.28703703703704" customWidth="1" style="126" min="11" max="11"/>
    <col width="21.8888888888889" customWidth="1" style="126" min="12" max="12"/>
    <col width="15.7777777777778" customWidth="1" style="81" min="13" max="13"/>
    <col width="4.11111111111111" customWidth="1" style="126" min="14" max="14"/>
    <col width="21.8888888888889" customWidth="1" style="126" min="15" max="15"/>
    <col width="12.8888888888889" customWidth="1" style="81" min="16" max="16"/>
    <col width="11.1388888888889" customWidth="1" style="126" min="17" max="17"/>
    <col width="12.4259259259259" customWidth="1" style="126" min="18" max="18"/>
    <col width="9.138888888888889" customWidth="1" style="126" min="19" max="16384"/>
  </cols>
  <sheetData>
    <row r="1" ht="20.4" customHeight="1" s="88">
      <c r="A1" s="127">
        <f>TODAY()-1</f>
        <v/>
      </c>
      <c r="B1" s="128" t="n"/>
      <c r="C1" s="128" t="n"/>
      <c r="D1" s="128" t="n"/>
      <c r="E1" s="129" t="inlineStr">
        <is>
          <t>广东省仓&amp;分仓库存报表</t>
        </is>
      </c>
      <c r="F1" s="128" t="n"/>
      <c r="G1" s="128" t="n"/>
      <c r="H1" s="128" t="n"/>
      <c r="I1" s="128" t="n"/>
      <c r="J1" s="130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1" t="inlineStr">
        <is>
          <t>总库存</t>
        </is>
      </c>
      <c r="E2" s="133" t="n"/>
      <c r="F2" s="131" t="inlineStr">
        <is>
          <t>今日入库</t>
        </is>
      </c>
      <c r="G2" s="132" t="n"/>
      <c r="H2" s="134" t="inlineStr">
        <is>
          <t>今日出库</t>
        </is>
      </c>
      <c r="I2" s="132" t="n"/>
      <c r="J2" s="134" t="inlineStr">
        <is>
          <t>其中苹果产品库存情况</t>
        </is>
      </c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  <c r="J3" s="135" t="n"/>
    </row>
    <row r="4" ht="15.6" customHeight="1" s="88">
      <c r="A4" s="138" t="inlineStr">
        <is>
          <t>手机</t>
        </is>
      </c>
      <c r="B4" s="139" t="n"/>
      <c r="C4" s="140" t="inlineStr">
        <is>
          <t>总计</t>
        </is>
      </c>
      <c r="D4" s="141">
        <f>D5+D6</f>
        <v/>
      </c>
      <c r="E4" s="141">
        <f>E5+E6</f>
        <v/>
      </c>
      <c r="F4" s="141">
        <f>F5+F6</f>
        <v/>
      </c>
      <c r="G4" s="130" t="n"/>
      <c r="H4" s="141">
        <f>H5+H6</f>
        <v/>
      </c>
      <c r="I4" s="130" t="n"/>
      <c r="J4" s="142" t="inlineStr">
        <is>
          <t>单独苹果统计：苹果手表    373台，iPhone 15 4120台，iPhone 15 plus 10台，iPhone 16 1306台，iPhone 16 plus 109台，iPhone 16 pro 1310台， iPhone 16 Pro Max 1921台，合计9149台</t>
        </is>
      </c>
    </row>
    <row r="5" ht="15.6" customHeight="1" s="88">
      <c r="A5" s="143" t="n"/>
      <c r="B5" s="132" t="n"/>
      <c r="C5" s="140" t="inlineStr">
        <is>
          <t>省仓合计</t>
        </is>
      </c>
      <c r="D5" s="141">
        <f>SUM(D7:D32)</f>
        <v/>
      </c>
      <c r="E5" s="141">
        <f>SUMIFS(总库存!E:E,总库存!A:A,"增城省仓",总库存!B:B,"手机",总库存!E:E,1)</f>
        <v/>
      </c>
      <c r="F5" s="141">
        <f>SUMIFS(收货记录查询!Y:Y,收货记录查询!A:A,"增城省仓",收货记录查询!B:B,"手机",收货记录查询!C:C,$A$1)</f>
        <v/>
      </c>
      <c r="G5" s="130" t="n"/>
      <c r="H5" s="141">
        <f>SUMIFS(出库全流程!C:C,出库全流程!A:A,"增城省仓",出库全流程!B:B,"手机")+SUMIFS(出库全流程!C:C,出库全流程!A:A,"零售电商仓",出库全流程!B:B,"手机")</f>
        <v/>
      </c>
      <c r="I5" s="130" t="n"/>
      <c r="J5" s="144" t="n"/>
      <c r="L5" s="126" t="n"/>
      <c r="M5" s="73" t="n"/>
    </row>
    <row r="6" ht="15.6" customHeight="1" s="88">
      <c r="A6" s="136" t="n"/>
      <c r="B6" s="133" t="n"/>
      <c r="C6" s="140" t="inlineStr">
        <is>
          <t>分仓合计</t>
        </is>
      </c>
      <c r="D6" s="141">
        <f>D46+D63+D69+D52+D74+D76</f>
        <v/>
      </c>
      <c r="E6" s="141">
        <f>SUMIFS(总库存!E:E,总库存!A:A,"深圳省仓",总库存!B:B,"手机",总库存!E:E,1)+SUMIFS(总库存!E:E,总库存!A:A,"花都省仓",总库存!B:B,"手机",总库存!E:E,1)+SUMIFS(总库存!E:E,总库存!A:A,"夏茅省仓",总库存!B:B,"手机",总库存!E:E,1)+SUMIFS(总库存!E:E,总库存!A:A,"南沙省仓",总库存!B:B,"手机",总库存!E:E,1)+SUMIFS(总库存!E:E,总库存!A:A,"中珠省仓",总库存!B:B,"手机",总库存!E:E,1)+SUMIFS(总库存!E:E,总库存!A:A,"东莞省仓",总库存!B:B,"手机",总库存!E:E,1)</f>
        <v/>
      </c>
      <c r="F6" s="141">
        <f>SUMIFS(收货记录查询!Y:Y,收货记录查询!A:A,"深圳省仓",收货记录查询!B:B,"手机",收货记录查询!C:C,$A$1)+SUMIFS(收货记录查询!Y:Y,收货记录查询!A:A,"花都省仓",收货记录查询!B:B,"手机",收货记录查询!C:C,$A$1)+SUMIFS(收货记录查询!Y:Y,收货记录查询!A:A,"夏茅省仓",收货记录查询!B:B,"手机",收货记录查询!C:C,$A$1)+SUMIFS(收货记录查询!Y:Y,收货记录查询!A:A,"南沙省仓",收货记录查询!B:B,"手机",收货记录查询!C:C,$A$1)+SUMIFS(收货记录查询!Y:Y,收货记录查询!A:A,"中珠省仓",收货记录查询!B:B,"手机",收货记录查询!C:C,$A$1)+SUMIFS(收货记录查询!Y:Y,收货记录查询!A:A,"东莞省仓",收货记录查询!B:B,"手机",收货记录查询!C:C,$A$1)</f>
        <v/>
      </c>
      <c r="G6" s="130" t="n"/>
      <c r="H6" s="141">
        <f>SUMIFS(出库全流程!C:C,出库全流程!A:A,"深圳省仓",出库全流程!B:B,"手机")+SUMIFS(出库全流程!C:C,出库全流程!A:A,"花都省仓",出库全流程!B:B,"手机")+SUMIFS(出库全流程!C:C,出库全流程!A:A,"夏茅省仓",出库全流程!B:B,"手机")+SUMIFS(出库全流程!C:C,出库全流程!A:A,"南沙省仓",出库全流程!B:B,"手机")+SUMIFS(出库全流程!C:C,出库全流程!A:A,"中珠省仓",出库全流程!B:B,"手机")+SUMIFS(出库全流程!C:C,出库全流程!A:A,"东莞省仓",出库全流程!B:B,"手机")</f>
        <v/>
      </c>
      <c r="I6" s="130" t="n"/>
      <c r="J6" s="144" t="n"/>
      <c r="L6" s="126" t="n"/>
    </row>
    <row r="7" ht="15.6" customHeight="1" s="88">
      <c r="A7" s="145" t="inlineStr">
        <is>
          <t xml:space="preserve">增城省仓
（含零售B2C）
</t>
        </is>
      </c>
      <c r="B7" s="138" t="inlineStr">
        <is>
          <t>手机</t>
        </is>
      </c>
      <c r="C7" s="146" t="inlineStr">
        <is>
          <t>苹果</t>
        </is>
      </c>
      <c r="D7" s="147">
        <f>SUMIFS(总库存!R:R,总库存!A:A,"增城省仓",总库存!B:B,"手机",总库存!U:U,C7)</f>
        <v/>
      </c>
      <c r="E7" s="147">
        <f>SUMIFS(总库存!E:E,总库存!A:A,"增城省仓",总库存!B:B,"手机",总库存!U:U,C7,总库存!E:E,1)</f>
        <v/>
      </c>
      <c r="F7" s="147">
        <f>SUMIFS(收货记录查询!Y:Y,收货记录查询!A:A,"增城省仓",收货记录查询!B:B,"手机",收货记录查询!M:M,C7,收货记录查询!C:C,$A$1)</f>
        <v/>
      </c>
      <c r="G7" s="130" t="n"/>
      <c r="H7" s="147">
        <f>SUMIFS(出库全流程!C:C,出库全流程!A:A,"增城省仓",出库全流程!B:B,"手机",出库全流程!W:W,C7)+SUMIFS(出库全流程!C:C,出库全流程!A:A,"零售电商仓",出库全流程!B:B,"手机",出库全流程!W:W,C7)</f>
        <v/>
      </c>
      <c r="I7" s="130" t="n"/>
      <c r="J7" s="144" t="n"/>
      <c r="L7" s="148" t="inlineStr">
        <is>
          <t>省仓库存合计（表格）</t>
        </is>
      </c>
      <c r="M7" s="37">
        <f>D5</f>
        <v/>
      </c>
      <c r="N7" s="148" t="n"/>
      <c r="O7" s="148" t="inlineStr">
        <is>
          <t>分仓库存合计（表格）</t>
        </is>
      </c>
      <c r="P7" s="37">
        <f>D6</f>
        <v/>
      </c>
    </row>
    <row r="8" ht="15.6" customHeight="1" s="88">
      <c r="A8" s="144" t="n"/>
      <c r="B8" s="144" t="n"/>
      <c r="C8" s="146" t="inlineStr">
        <is>
          <t>华为</t>
        </is>
      </c>
      <c r="D8" s="147">
        <f>SUMIFS(总库存!R:R,总库存!A:A,"增城省仓",总库存!B:B,"手机",总库存!U:U,C8)</f>
        <v/>
      </c>
      <c r="E8" s="147">
        <f>SUMIFS(总库存!E:E,总库存!A:A,"增城省仓",总库存!B:B,"手机",总库存!U:U,C8,总库存!E:E,1)</f>
        <v/>
      </c>
      <c r="F8" s="147">
        <f>SUMIFS(收货记录查询!Y:Y,收货记录查询!A:A,"增城省仓",收货记录查询!B:B,"手机",收货记录查询!M:M,C8,收货记录查询!C:C,$A$1)</f>
        <v/>
      </c>
      <c r="G8" s="130" t="n"/>
      <c r="H8" s="147">
        <f>SUMIFS(出库全流程!C:C,出库全流程!A:A,"增城省仓",出库全流程!B:B,"手机",出库全流程!W:W,C8)+SUMIFS(出库全流程!C:C,出库全流程!A:A,"零售电商仓",出库全流程!B:B,"手机",出库全流程!W:W,C8)</f>
        <v/>
      </c>
      <c r="I8" s="130" t="n"/>
      <c r="J8" s="144" t="n"/>
      <c r="L8" s="148" t="inlineStr">
        <is>
          <t>省仓库存合计（明细）</t>
        </is>
      </c>
      <c r="M8" s="37">
        <f>SUMIFS(总库存!R:R,总库存!A:A,"增城省仓",总库存!B:B,"手机")</f>
        <v/>
      </c>
      <c r="N8" s="148" t="n"/>
      <c r="O8" s="148" t="inlineStr">
        <is>
          <t>分仓库存合计（明细）</t>
        </is>
      </c>
      <c r="P8" s="37">
        <f>SUMIFS(总库存!R:R,总库存!A:A,"深圳省仓",总库存!B:B,"手机")+SUMIFS(总库存!R:R,总库存!A:A,"夏茅省仓",总库存!B:B,"手机")+SUMIFS(总库存!R:R,总库存!A:A,"花都省仓",总库存!B:B,"手机")+SUMIFS(总库存!R:R,总库存!A:A,"南沙省仓",总库存!B:B,"手机")+SUMIFS(总库存!R:R,总库存!A:A,"中珠省仓",总库存!B:B,"手机")+SUMIFS(总库存!R:R,总库存!A:A,"东莞省仓",总库存!B:B,"手机")</f>
        <v/>
      </c>
    </row>
    <row r="9" ht="15.6" customHeight="1" s="88">
      <c r="A9" s="144" t="n"/>
      <c r="B9" s="144" t="n"/>
      <c r="C9" s="146" t="inlineStr">
        <is>
          <t>维沃</t>
        </is>
      </c>
      <c r="D9" s="147">
        <f>SUMIFS(总库存!R:R,总库存!A:A,"增城省仓",总库存!B:B,"手机",总库存!U:U,C9)</f>
        <v/>
      </c>
      <c r="E9" s="147">
        <f>SUMIFS(总库存!E:E,总库存!A:A,"增城省仓",总库存!B:B,"手机",总库存!U:U,C9,总库存!E:E,1)</f>
        <v/>
      </c>
      <c r="F9" s="147">
        <f>SUMIFS(收货记录查询!Y:Y,收货记录查询!A:A,"增城省仓",收货记录查询!B:B,"手机",收货记录查询!M:M,C9,收货记录查询!C:C,$A$1)</f>
        <v/>
      </c>
      <c r="G9" s="130" t="n"/>
      <c r="H9" s="147">
        <f>SUMIFS(出库全流程!C:C,出库全流程!A:A,"增城省仓",出库全流程!B:B,"手机",出库全流程!W:W,C9)+SUMIFS(出库全流程!C:C,出库全流程!A:A,"零售电商仓",出库全流程!B:B,"手机",出库全流程!W:W,C9)</f>
        <v/>
      </c>
      <c r="I9" s="130" t="n"/>
      <c r="J9" s="144" t="n"/>
      <c r="L9" s="149" t="inlineStr">
        <is>
          <t>差异数</t>
        </is>
      </c>
      <c r="M9" s="40">
        <f>M7-M8</f>
        <v/>
      </c>
      <c r="N9" s="148" t="n"/>
      <c r="O9" s="149" t="inlineStr">
        <is>
          <t>差异数</t>
        </is>
      </c>
      <c r="P9" s="40">
        <f>P7-P8</f>
        <v/>
      </c>
    </row>
    <row r="10" ht="15.6" customHeight="1" s="88">
      <c r="A10" s="144" t="n"/>
      <c r="B10" s="144" t="n"/>
      <c r="C10" s="146" t="inlineStr">
        <is>
          <t>欧珀</t>
        </is>
      </c>
      <c r="D10" s="147">
        <f>SUMIFS(总库存!R:R,总库存!A:A,"增城省仓",总库存!B:B,"手机",总库存!U:U,C10)+SUMIFS(总库存!R:R,总库存!A:A,"增城省仓",总库存!B:B,"手机",总库存!U:U,"remax")</f>
        <v/>
      </c>
      <c r="E10" s="147">
        <f>SUMIFS(总库存!E:E,总库存!A:A,"增城省仓",总库存!B:B,"手机",总库存!U:U,C10,总库存!E:E,1)+SUMIFS(总库存!E:E,总库存!A:A,"增城省仓",总库存!B:B,"手机",总库存!U:U,"remax",总库存!E:E,1)</f>
        <v/>
      </c>
      <c r="F10" s="147">
        <f>SUMIFS(收货记录查询!Y:Y,收货记录查询!A:A,"增城省仓",收货记录查询!B:B,"手机",收货记录查询!M:M,C10,收货记录查询!C:C,$A$1)+SUMIFS(收货记录查询!Y:Y,收货记录查询!A:A,"增城省仓",收货记录查询!B:B,"手机",收货记录查询!M:M,"remax",收货记录查询!C:C,$A$1)</f>
        <v/>
      </c>
      <c r="G10" s="130" t="n"/>
      <c r="H10" s="147">
        <f>SUMIFS(出库全流程!C:C,出库全流程!A:A,"增城省仓",出库全流程!B:B,"手机",出库全流程!W:W,C10)+SUMIFS(出库全流程!C:C,出库全流程!A:A,"零售电商仓",出库全流程!B:B,"手机",出库全流程!W:W,C10)+SUMIFS(出库全流程!C:C,出库全流程!A:A,"增城省仓",出库全流程!B:B,"手机",出库全流程!W:W,"remax")+SUMIFS(出库全流程!C:C,出库全流程!A:A,"零售电商仓",出库全流程!B:B,"手机",出库全流程!W:W,"remax")</f>
        <v/>
      </c>
      <c r="I10" s="130" t="n"/>
      <c r="J10" s="144" t="n"/>
      <c r="L10" s="150" t="inlineStr">
        <is>
          <t>注：如差异数不为0，则查看左侧表格是否需补充手机品牌，缺失品牌到子表[2.0总库存]查找</t>
        </is>
      </c>
      <c r="M10" s="151" t="n"/>
      <c r="N10" s="151" t="n"/>
      <c r="O10" s="151" t="n"/>
      <c r="P10" s="139" t="n"/>
    </row>
    <row r="11" ht="15.6" customHeight="1" s="88">
      <c r="A11" s="144" t="n"/>
      <c r="B11" s="144" t="n"/>
      <c r="C11" s="146" t="inlineStr">
        <is>
          <t>荣耀</t>
        </is>
      </c>
      <c r="D11" s="147">
        <f>SUMIFS(总库存!R:R,总库存!A:A,"增城省仓",总库存!B:B,"手机",总库存!U:U,C11)</f>
        <v/>
      </c>
      <c r="E11" s="147">
        <f>SUMIFS(总库存!E:E,总库存!A:A,"增城省仓",总库存!B:B,"手机",总库存!U:U,C11,总库存!E:E,1)</f>
        <v/>
      </c>
      <c r="F11" s="147">
        <f>SUMIFS(收货记录查询!Y:Y,收货记录查询!A:A,"增城省仓",收货记录查询!B:B,"手机",收货记录查询!M:M,C11,收货记录查询!C:C,$A$1)</f>
        <v/>
      </c>
      <c r="G11" s="130" t="n"/>
      <c r="H11" s="147">
        <f>SUMIFS(出库全流程!C:C,出库全流程!A:A,"增城省仓",出库全流程!B:B,"手机",出库全流程!W:W,C11)+SUMIFS(出库全流程!C:C,出库全流程!A:A,"零售电商仓",出库全流程!B:B,"手机",出库全流程!W:W,C11)</f>
        <v/>
      </c>
      <c r="I11" s="130" t="n"/>
      <c r="J11" s="135" t="n"/>
      <c r="L11" s="136" t="n"/>
      <c r="M11" s="152" t="n"/>
      <c r="N11" s="152" t="n"/>
      <c r="O11" s="152" t="n"/>
      <c r="P11" s="133" t="n"/>
    </row>
    <row r="12" ht="15.6" customHeight="1" s="88">
      <c r="A12" s="144" t="n"/>
      <c r="B12" s="144" t="n"/>
      <c r="C12" s="146" t="inlineStr">
        <is>
          <t>小米科技</t>
        </is>
      </c>
      <c r="D12" s="147">
        <f>SUMIFS(总库存!R:R,总库存!A:A,"增城省仓",总库存!B:B,"手机",总库存!U:U,C12)</f>
        <v/>
      </c>
      <c r="E12" s="147">
        <f>SUMIFS(总库存!E:E,总库存!A:A,"增城省仓",总库存!B:B,"手机",总库存!U:U,C12,总库存!E:E,1)</f>
        <v/>
      </c>
      <c r="F12" s="147">
        <f>SUMIFS(收货记录查询!Y:Y,收货记录查询!A:A,"增城省仓",收货记录查询!B:B,"手机",收货记录查询!M:M,C12,收货记录查询!C:C,$A$1)</f>
        <v/>
      </c>
      <c r="G12" s="130" t="n"/>
      <c r="H12" s="147">
        <f>SUMIFS(出库全流程!C:C,出库全流程!A:A,"增城省仓",出库全流程!B:B,"手机",出库全流程!W:W,C12)+SUMIFS(出库全流程!C:C,出库全流程!A:A,"零售电商仓",出库全流程!B:B,"手机",出库全流程!W:W,C12)</f>
        <v/>
      </c>
      <c r="I12" s="130" t="n"/>
      <c r="J12" s="153" t="n"/>
    </row>
    <row r="13" ht="15.6" customHeight="1" s="88">
      <c r="A13" s="144" t="n"/>
      <c r="B13" s="144" t="n"/>
      <c r="C13" s="146" t="inlineStr">
        <is>
          <t>REALME</t>
        </is>
      </c>
      <c r="D13" s="147">
        <f>SUMIFS(总库存!R:R,总库存!A:A,"增城省仓",总库存!B:B,"手机",总库存!U:U,C13)</f>
        <v/>
      </c>
      <c r="E13" s="147">
        <f>SUMIFS(总库存!E:E,总库存!A:A,"增城省仓",总库存!B:B,"手机",总库存!U:U,C13,总库存!E:E,1)</f>
        <v/>
      </c>
      <c r="F13" s="147">
        <f>SUMIFS(收货记录查询!Y:Y,收货记录查询!A:A,"增城省仓",收货记录查询!B:B,"手机",收货记录查询!M:M,C13,收货记录查询!C:C,$A$1)</f>
        <v/>
      </c>
      <c r="G13" s="130" t="n"/>
      <c r="H13" s="147">
        <f>SUMIFS(出库全流程!C:C,出库全流程!A:A,"增城省仓",出库全流程!B:B,"手机",出库全流程!W:W,C13)+SUMIFS(出库全流程!C:C,出库全流程!A:A,"零售电商仓",出库全流程!B:B,"手机",出库全流程!W:W,C13)</f>
        <v/>
      </c>
      <c r="I13" s="130" t="n"/>
      <c r="J13" s="153" t="n"/>
      <c r="L13" s="148" t="inlineStr">
        <is>
          <t>省仓入库合计（表格）</t>
        </is>
      </c>
      <c r="M13" s="37">
        <f>F5</f>
        <v/>
      </c>
      <c r="N13" s="148" t="n"/>
      <c r="O13" s="148" t="inlineStr">
        <is>
          <t>分仓入库合计（表格）</t>
        </is>
      </c>
      <c r="P13" s="37">
        <f>F6</f>
        <v/>
      </c>
    </row>
    <row r="14" ht="15.6" customHeight="1" s="88">
      <c r="A14" s="144" t="n"/>
      <c r="B14" s="144" t="n"/>
      <c r="C14" s="146" t="inlineStr">
        <is>
          <t>HI NOVA</t>
        </is>
      </c>
      <c r="D14" s="147">
        <f>SUMIFS(总库存!R:R,总库存!A:A,"增城省仓",总库存!B:B,"手机",总库存!U:U,C14)</f>
        <v/>
      </c>
      <c r="E14" s="147">
        <f>SUMIFS(总库存!E:E,总库存!A:A,"增城省仓",总库存!B:B,"手机",总库存!U:U,C14,总库存!E:E,1)</f>
        <v/>
      </c>
      <c r="F14" s="147">
        <f>SUMIFS(收货记录查询!Y:Y,收货记录查询!A:A,"增城省仓",收货记录查询!B:B,"手机",收货记录查询!M:M,C14,收货记录查询!C:C,$A$1)</f>
        <v/>
      </c>
      <c r="G14" s="130" t="n"/>
      <c r="H14" s="147">
        <f>SUMIFS(出库全流程!C:C,出库全流程!A:A,"增城省仓",出库全流程!B:B,"手机",出库全流程!W:W,C14)+SUMIFS(出库全流程!C:C,出库全流程!A:A,"零售电商仓",出库全流程!B:B,"手机",出库全流程!W:W,C14)</f>
        <v/>
      </c>
      <c r="I14" s="130" t="n"/>
      <c r="J14" s="154" t="n"/>
      <c r="L14" s="148" t="inlineStr">
        <is>
          <t>省仓入库合计（明细）</t>
        </is>
      </c>
      <c r="M14" s="37">
        <f>SUM(F7:G32)</f>
        <v/>
      </c>
      <c r="N14" s="148" t="n"/>
      <c r="O14" s="148" t="inlineStr">
        <is>
          <t>分仓入库合计（明细）</t>
        </is>
      </c>
      <c r="P14" s="37">
        <f>F46+F63+F69+F52+F74+F77</f>
        <v/>
      </c>
    </row>
    <row r="15" ht="15.6" customHeight="1" s="88">
      <c r="A15" s="144" t="n"/>
      <c r="B15" s="144" t="n"/>
      <c r="C15" s="146" t="inlineStr">
        <is>
          <t>中兴</t>
        </is>
      </c>
      <c r="D15" s="147">
        <f>SUMIFS(总库存!R:R,总库存!A:A,"增城省仓",总库存!B:B,"手机",总库存!U:U,C15)</f>
        <v/>
      </c>
      <c r="E15" s="147">
        <f>SUMIFS(总库存!E:E,总库存!A:A,"增城省仓",总库存!B:B,"手机",总库存!U:U,C15,总库存!E:E,1)</f>
        <v/>
      </c>
      <c r="F15" s="147">
        <f>SUMIFS(收货记录查询!Y:Y,收货记录查询!A:A,"增城省仓",收货记录查询!B:B,"手机",收货记录查询!M:M,C15,收货记录查询!C:C,$A$1)</f>
        <v/>
      </c>
      <c r="G15" s="130" t="n"/>
      <c r="H15" s="147">
        <f>SUMIFS(出库全流程!C:C,出库全流程!A:A,"增城省仓",出库全流程!B:B,"手机",出库全流程!W:W,C15)+SUMIFS(出库全流程!C:C,出库全流程!A:A,"零售电商仓",出库全流程!B:B,"手机",出库全流程!W:W,C15)</f>
        <v/>
      </c>
      <c r="I15" s="130" t="n"/>
      <c r="J15" s="153" t="n"/>
      <c r="L15" s="149" t="inlineStr">
        <is>
          <t>差异数</t>
        </is>
      </c>
      <c r="M15" s="40">
        <f>M13-M14</f>
        <v/>
      </c>
      <c r="N15" s="148" t="n"/>
      <c r="O15" s="149" t="inlineStr">
        <is>
          <t>差异数</t>
        </is>
      </c>
      <c r="P15" s="40">
        <f>P13-P14</f>
        <v/>
      </c>
    </row>
    <row r="16" ht="15.6" customHeight="1" s="88">
      <c r="A16" s="144" t="n"/>
      <c r="B16" s="144" t="n"/>
      <c r="C16" s="146" t="inlineStr">
        <is>
          <t>酷派</t>
        </is>
      </c>
      <c r="D16" s="147">
        <f>SUMIFS(总库存!R:R,总库存!A:A,"增城省仓",总库存!B:B,"手机",总库存!U:U,C16)</f>
        <v/>
      </c>
      <c r="E16" s="147">
        <f>SUMIFS(总库存!E:E,总库存!A:A,"增城省仓",总库存!B:B,"手机",总库存!U:U,C16,总库存!E:E,1)</f>
        <v/>
      </c>
      <c r="F16" s="147">
        <f>SUMIFS(收货记录查询!Y:Y,收货记录查询!A:A,"增城省仓",收货记录查询!B:B,"手机",收货记录查询!M:M,C16,收货记录查询!C:C,$A$1)</f>
        <v/>
      </c>
      <c r="G16" s="130" t="n"/>
      <c r="H16" s="147">
        <f>SUMIFS(出库全流程!C:C,出库全流程!A:A,"增城省仓",出库全流程!B:B,"手机",出库全流程!W:W,C16)+SUMIFS(出库全流程!C:C,出库全流程!A:A,"零售电商仓",出库全流程!B:B,"手机",出库全流程!W:W,C16)</f>
        <v/>
      </c>
      <c r="I16" s="130" t="n"/>
      <c r="J16" s="153" t="n"/>
      <c r="L16" s="150" t="inlineStr">
        <is>
          <t>注：如差异数不为0，则查看左侧表格是否需补充手机品牌，缺失品牌到子表[2.0收货记录查询]查找</t>
        </is>
      </c>
      <c r="M16" s="151" t="n"/>
      <c r="N16" s="151" t="n"/>
      <c r="O16" s="151" t="n"/>
      <c r="P16" s="139" t="n"/>
    </row>
    <row r="17" ht="15.6" customHeight="1" s="88">
      <c r="A17" s="144" t="n"/>
      <c r="B17" s="144" t="n"/>
      <c r="C17" s="76" t="inlineStr">
        <is>
          <t>中国移动</t>
        </is>
      </c>
      <c r="D17" s="147">
        <f>SUMIFS(总库存!R:R,总库存!A:A,"增城省仓",总库存!B:B,"手机",总库存!U:U,C17)</f>
        <v/>
      </c>
      <c r="E17" s="147">
        <f>SUMIFS(总库存!E:E,总库存!A:A,"增城省仓",总库存!B:B,"手机",总库存!U:U,C17,总库存!E:E,1)</f>
        <v/>
      </c>
      <c r="F17" s="147">
        <f>SUMIFS(收货记录查询!Y:Y,收货记录查询!A:A,"增城省仓",收货记录查询!B:B,"手机",收货记录查询!M:M,C17,收货记录查询!C:C,$A$1)</f>
        <v/>
      </c>
      <c r="G17" s="130" t="n"/>
      <c r="H17" s="147">
        <f>SUMIFS(出库全流程!C:C,出库全流程!A:A,"增城省仓",出库全流程!B:B,"手机",出库全流程!W:W,C17)+SUMIFS(出库全流程!C:C,出库全流程!A:A,"零售电商仓",出库全流程!B:B,"手机",出库全流程!W:W,C17)</f>
        <v/>
      </c>
      <c r="I17" s="130" t="n"/>
      <c r="J17" s="153" t="n"/>
      <c r="L17" s="143" t="n"/>
      <c r="P17" s="132" t="n"/>
    </row>
    <row r="18" ht="15.6" customHeight="1" s="88">
      <c r="A18" s="144" t="n"/>
      <c r="B18" s="144" t="n"/>
      <c r="C18" s="146" t="inlineStr">
        <is>
          <t>一加</t>
        </is>
      </c>
      <c r="D18" s="147">
        <f>SUMIFS(总库存!R:R,总库存!A:A,"增城省仓",总库存!B:B,"手机",总库存!U:U,C18)</f>
        <v/>
      </c>
      <c r="E18" s="147">
        <f>SUMIFS(总库存!E:E,总库存!A:A,"增城省仓",总库存!B:B,"手机",总库存!U:U,C18,总库存!E:E,1)</f>
        <v/>
      </c>
      <c r="F18" s="147">
        <f>SUMIFS(收货记录查询!Y:Y,收货记录查询!A:A,"增城省仓",收货记录查询!B:B,"手机",收货记录查询!M:M,C18,收货记录查询!C:C,$A$1)</f>
        <v/>
      </c>
      <c r="G18" s="130" t="n"/>
      <c r="H18" s="147">
        <f>SUMIFS(出库全流程!C:C,出库全流程!A:A,"增城省仓",出库全流程!B:B,"手机",出库全流程!W:W,C18)+SUMIFS(出库全流程!C:C,出库全流程!A:A,"零售电商仓",出库全流程!B:B,"手机",出库全流程!W:W,C18)</f>
        <v/>
      </c>
      <c r="I18" s="130" t="n"/>
      <c r="J18" s="153" t="n"/>
      <c r="L18" s="136" t="n"/>
      <c r="M18" s="152" t="n"/>
      <c r="N18" s="152" t="n"/>
      <c r="O18" s="152" t="n"/>
      <c r="P18" s="133" t="n"/>
    </row>
    <row r="19" ht="15.6" customHeight="1" s="88">
      <c r="A19" s="144" t="n"/>
      <c r="B19" s="144" t="n"/>
      <c r="C19" s="146" t="inlineStr">
        <is>
          <t>唯科</t>
        </is>
      </c>
      <c r="D19" s="147">
        <f>SUMIFS(总库存!R:R,总库存!A:A,"增城省仓",总库存!B:B,"手机",总库存!U:U,C19)</f>
        <v/>
      </c>
      <c r="E19" s="147">
        <f>SUMIFS(总库存!E:E,总库存!A:A,"增城省仓",总库存!B:B,"手机",总库存!U:U,C19,总库存!E:E,1)</f>
        <v/>
      </c>
      <c r="F19" s="147">
        <f>SUMIFS(收货记录查询!Y:Y,收货记录查询!A:A,"增城省仓",收货记录查询!B:B,"手机",收货记录查询!M:M,C19,收货记录查询!C:C,$A$1)</f>
        <v/>
      </c>
      <c r="G19" s="130" t="n"/>
      <c r="H19" s="147">
        <f>SUMIFS(出库全流程!C:C,出库全流程!A:A,"增城省仓",出库全流程!B:B,"手机",出库全流程!W:W,C19)+SUMIFS(出库全流程!C:C,出库全流程!A:A,"零售电商仓",出库全流程!B:B,"手机",出库全流程!W:W,C19)</f>
        <v/>
      </c>
      <c r="I19" s="130" t="n"/>
      <c r="J19" s="153" t="n"/>
    </row>
    <row r="20" ht="15.6" customHeight="1" s="88">
      <c r="A20" s="144" t="n"/>
      <c r="B20" s="144" t="n"/>
      <c r="C20" s="146" t="inlineStr">
        <is>
          <t>TCL</t>
        </is>
      </c>
      <c r="D20" s="147">
        <f>SUMIFS(总库存!R:R,总库存!A:A,"增城省仓",总库存!B:B,"手机",总库存!U:U,C20)</f>
        <v/>
      </c>
      <c r="E20" s="147">
        <f>SUMIFS(总库存!E:E,总库存!A:A,"增城省仓",总库存!B:B,"手机",总库存!U:U,C20,总库存!E:E,1)</f>
        <v/>
      </c>
      <c r="F20" s="147">
        <f>SUMIFS(收货记录查询!Y:Y,收货记录查询!A:A,"增城省仓",收货记录查询!B:B,"手机",收货记录查询!M:M,C20,收货记录查询!C:C,$A$1)</f>
        <v/>
      </c>
      <c r="G20" s="130" t="n"/>
      <c r="H20" s="147">
        <f>SUMIFS(出库全流程!C:C,出库全流程!A:A,"增城省仓",出库全流程!B:B,"手机",出库全流程!W:W,C20)+SUMIFS(出库全流程!C:C,出库全流程!A:A,"零售电商仓",出库全流程!B:B,"手机",出库全流程!W:W,C20)</f>
        <v/>
      </c>
      <c r="I20" s="130" t="n"/>
      <c r="J20" s="153" t="n"/>
      <c r="L20" s="148" t="inlineStr">
        <is>
          <t>省仓出库合计（表格）</t>
        </is>
      </c>
      <c r="M20" s="37">
        <f>H5</f>
        <v/>
      </c>
      <c r="N20" s="148" t="n"/>
      <c r="O20" s="148" t="inlineStr">
        <is>
          <t>分仓出库合计（表格）</t>
        </is>
      </c>
      <c r="P20" s="37">
        <f>H6</f>
        <v/>
      </c>
    </row>
    <row r="21" ht="15.6" customHeight="1" s="88">
      <c r="A21" s="144" t="n"/>
      <c r="B21" s="144" t="n"/>
      <c r="C21" s="146" t="inlineStr">
        <is>
          <t>TOSOT</t>
        </is>
      </c>
      <c r="D21" s="147">
        <f>SUMIFS(总库存!R:R,总库存!A:A,"增城省仓",总库存!B:B,"手机",总库存!U:U,C21)</f>
        <v/>
      </c>
      <c r="E21" s="147">
        <f>SUMIFS(总库存!E:E,总库存!A:A,"增城省仓",总库存!B:B,"手机",总库存!U:U,C21,总库存!E:E,1)</f>
        <v/>
      </c>
      <c r="F21" s="147">
        <f>SUMIFS(收货记录查询!Y:Y,收货记录查询!A:A,"增城省仓",收货记录查询!B:B,"手机",收货记录查询!M:M,C21,收货记录查询!C:C,$A$1)</f>
        <v/>
      </c>
      <c r="G21" s="130" t="n"/>
      <c r="H21" s="147">
        <f>SUMIFS(出库全流程!C:C,出库全流程!A:A,"增城省仓",出库全流程!B:B,"手机",出库全流程!W:W,C21)+SUMIFS(出库全流程!C:C,出库全流程!A:A,"零售电商仓",出库全流程!B:B,"手机",出库全流程!W:W,C21)</f>
        <v/>
      </c>
      <c r="I21" s="130" t="n"/>
      <c r="J21" s="153" t="n"/>
      <c r="L21" s="148" t="inlineStr">
        <is>
          <t>省仓出库合计（明细）</t>
        </is>
      </c>
      <c r="M21" s="37">
        <f>SUM(H7:I32)</f>
        <v/>
      </c>
      <c r="N21" s="148" t="n"/>
      <c r="O21" s="148" t="inlineStr">
        <is>
          <t>分仓出库合计（明细）</t>
        </is>
      </c>
      <c r="P21" s="37">
        <f>H46+H63+H69+H52+H74+H77</f>
        <v/>
      </c>
    </row>
    <row r="22" ht="15.6" customHeight="1" s="88">
      <c r="A22" s="144" t="n"/>
      <c r="B22" s="144" t="n"/>
      <c r="C22" s="146" t="inlineStr">
        <is>
          <t>魅族</t>
        </is>
      </c>
      <c r="D22" s="147">
        <f>SUMIFS(总库存!R:R,总库存!A:A,"增城省仓",总库存!B:B,"手机",总库存!U:U,C22)</f>
        <v/>
      </c>
      <c r="E22" s="147">
        <f>SUMIFS(总库存!E:E,总库存!A:A,"增城省仓",总库存!B:B,"手机",总库存!U:U,C22,总库存!E:E,1)</f>
        <v/>
      </c>
      <c r="F22" s="147">
        <f>SUMIFS(收货记录查询!Y:Y,收货记录查询!A:A,"增城省仓",收货记录查询!B:B,"手机",收货记录查询!M:M,C22,收货记录查询!C:C,$A$1)</f>
        <v/>
      </c>
      <c r="G22" s="130" t="n"/>
      <c r="H22" s="147">
        <f>SUMIFS(出库全流程!C:C,出库全流程!A:A,"增城省仓",出库全流程!B:B,"手机",出库全流程!W:W,C22)+SUMIFS(出库全流程!C:C,出库全流程!A:A,"零售电商仓",出库全流程!B:B,"手机",出库全流程!W:W,C22)</f>
        <v/>
      </c>
      <c r="I22" s="130" t="n"/>
      <c r="J22" s="153" t="n"/>
      <c r="L22" s="149" t="inlineStr">
        <is>
          <t>差异数</t>
        </is>
      </c>
      <c r="M22" s="40">
        <f>M20-M21</f>
        <v/>
      </c>
      <c r="N22" s="148" t="n"/>
      <c r="O22" s="149" t="inlineStr">
        <is>
          <t>差异数</t>
        </is>
      </c>
      <c r="P22" s="40">
        <f>P20-P21</f>
        <v/>
      </c>
    </row>
    <row r="23" ht="15.6" customHeight="1" s="88">
      <c r="A23" s="144" t="n"/>
      <c r="B23" s="144" t="n"/>
      <c r="C23" s="146" t="inlineStr">
        <is>
          <t>金立</t>
        </is>
      </c>
      <c r="D23" s="147">
        <f>SUMIFS(总库存!R:R,总库存!A:A,"增城省仓",总库存!B:B,"手机",总库存!U:U,C23)</f>
        <v/>
      </c>
      <c r="E23" s="147">
        <f>SUMIFS(总库存!E:E,总库存!A:A,"增城省仓",总库存!B:B,"手机",总库存!U:U,C23,总库存!E:E,1)</f>
        <v/>
      </c>
      <c r="F23" s="147">
        <f>SUMIFS(收货记录查询!Y:Y,收货记录查询!A:A,"增城省仓",收货记录查询!B:B,"手机",收货记录查询!M:M,C23,收货记录查询!C:C,$A$1)</f>
        <v/>
      </c>
      <c r="G23" s="130" t="n"/>
      <c r="H23" s="147">
        <f>SUMIFS(出库全流程!C:C,出库全流程!A:A,"增城省仓",出库全流程!B:B,"手机",出库全流程!W:W,C23)+SUMIFS(出库全流程!C:C,出库全流程!A:A,"零售电商仓",出库全流程!B:B,"手机",出库全流程!W:W,C23)</f>
        <v/>
      </c>
      <c r="I23" s="130" t="n"/>
      <c r="J23" s="153" t="n"/>
      <c r="L23" s="150" t="inlineStr">
        <is>
          <t>注：如差异数不为0，则查看左侧表格是否需补充手机品牌，缺失品牌到子表[2.0出库全流程]查找</t>
        </is>
      </c>
      <c r="M23" s="151" t="n"/>
      <c r="N23" s="151" t="n"/>
      <c r="O23" s="151" t="n"/>
      <c r="P23" s="139" t="n"/>
    </row>
    <row r="24" ht="15.6" customHeight="1" s="88">
      <c r="A24" s="144" t="n"/>
      <c r="B24" s="144" t="n"/>
      <c r="C24" s="146" t="inlineStr">
        <is>
          <t>中移终端公司</t>
        </is>
      </c>
      <c r="D24" s="147">
        <f>SUMIFS(总库存!R:R,总库存!A:A,"增城省仓",总库存!B:B,"手机",总库存!U:U,C24)</f>
        <v/>
      </c>
      <c r="E24" s="147">
        <f>SUMIFS(总库存!E:E,总库存!A:A,"增城省仓",总库存!B:B,"手机",总库存!U:U,C24,总库存!E:E,1)</f>
        <v/>
      </c>
      <c r="F24" s="147">
        <f>SUMIFS(收货记录查询!Y:Y,收货记录查询!A:A,"增城省仓",收货记录查询!B:B,"手机",收货记录查询!M:M,C24,收货记录查询!C:C,$A$1)</f>
        <v/>
      </c>
      <c r="G24" s="130" t="n"/>
      <c r="H24" s="147">
        <f>SUMIFS(出库全流程!C:C,出库全流程!A:A,"增城省仓",出库全流程!B:B,"手机",出库全流程!W:W,C24)+SUMIFS(出库全流程!C:C,出库全流程!A:A,"零售电商仓",出库全流程!B:B,"手机",出库全流程!W:W,C24)</f>
        <v/>
      </c>
      <c r="I24" s="130" t="n"/>
      <c r="J24" s="153" t="n"/>
      <c r="L24" s="136" t="n"/>
      <c r="M24" s="152" t="n"/>
      <c r="N24" s="152" t="n"/>
      <c r="O24" s="152" t="n"/>
      <c r="P24" s="133" t="n"/>
    </row>
    <row r="25" ht="15.6" customHeight="1" s="88">
      <c r="A25" s="144" t="n"/>
      <c r="B25" s="144" t="n"/>
      <c r="C25" s="146" t="inlineStr">
        <is>
          <t>宇龙</t>
        </is>
      </c>
      <c r="D25" s="147">
        <f>SUMIFS(总库存!R:R,总库存!A:A,"增城省仓",总库存!B:B,"手机",总库存!U:U,C25)</f>
        <v/>
      </c>
      <c r="E25" s="147">
        <f>SUMIFS(总库存!E:E,总库存!A:A,"增城省仓",总库存!B:B,"手机",总库存!U:U,C25,总库存!E:E,1)</f>
        <v/>
      </c>
      <c r="F25" s="147">
        <f>SUMIFS(收货记录查询!Y:Y,收货记录查询!A:A,"增城省仓",收货记录查询!B:B,"手机",收货记录查询!M:M,C25,收货记录查询!C:C,$A$1)</f>
        <v/>
      </c>
      <c r="G25" s="130" t="n"/>
      <c r="H25" s="147">
        <f>SUMIFS(出库全流程!C:C,出库全流程!A:A,"增城省仓",出库全流程!B:B,"手机",出库全流程!W:W,C25)+SUMIFS(出库全流程!C:C,出库全流程!A:A,"零售电商仓",出库全流程!B:B,"手机",出库全流程!W:W,C25)</f>
        <v/>
      </c>
      <c r="I25" s="130" t="n"/>
      <c r="J25" s="153" t="n"/>
    </row>
    <row r="26" ht="15.6" customHeight="1" s="88">
      <c r="A26" s="144" t="n"/>
      <c r="B26" s="144" t="n"/>
      <c r="C26" s="146" t="inlineStr">
        <is>
          <t>弘米</t>
        </is>
      </c>
      <c r="D26" s="147">
        <f>SUMIFS(总库存!R:R,总库存!A:A,"增城省仓",总库存!B:B,"手机",总库存!U:U,C26)</f>
        <v/>
      </c>
      <c r="E26" s="147">
        <f>SUMIFS(总库存!E:E,总库存!A:A,"增城省仓",总库存!B:B,"手机",总库存!U:U,C26,总库存!E:E,1)</f>
        <v/>
      </c>
      <c r="F26" s="147">
        <f>SUMIFS(收货记录查询!Y:Y,收货记录查询!A:A,"增城省仓",收货记录查询!B:B,"手机",收货记录查询!M:M,C26,收货记录查询!C:C,$A$1)</f>
        <v/>
      </c>
      <c r="G26" s="130" t="n"/>
      <c r="H26" s="147">
        <f>SUMIFS(出库全流程!C:C,出库全流程!A:A,"增城省仓",出库全流程!B:B,"手机",出库全流程!W:W,C26)+SUMIFS(出库全流程!C:C,出库全流程!A:A,"零售电商仓",出库全流程!B:B,"手机",出库全流程!W:W,C26)</f>
        <v/>
      </c>
      <c r="I26" s="130" t="n"/>
      <c r="J26" s="153" t="n"/>
    </row>
    <row r="27" ht="15.6" customHeight="1" s="88">
      <c r="A27" s="144" t="n"/>
      <c r="B27" s="144" t="n"/>
      <c r="C27" s="146" t="inlineStr">
        <is>
          <t>联想</t>
        </is>
      </c>
      <c r="D27" s="147">
        <f>SUMIFS(总库存!R:R,总库存!A:A,"增城省仓",总库存!B:B,"手机",总库存!U:U,C27)</f>
        <v/>
      </c>
      <c r="E27" s="147">
        <f>SUMIFS(总库存!E:E,总库存!A:A,"增城省仓",总库存!B:B,"手机",总库存!U:U,C27,总库存!E:E,1)</f>
        <v/>
      </c>
      <c r="F27" s="147">
        <f>SUMIFS(收货记录查询!Y:Y,收货记录查询!A:A,"增城省仓",收货记录查询!B:B,"手机",收货记录查询!M:M,C27,收货记录查询!C:C,$A$1)</f>
        <v/>
      </c>
      <c r="G27" s="130" t="n"/>
      <c r="H27" s="147">
        <f>SUMIFS(出库全流程!C:C,出库全流程!A:A,"增城省仓",出库全流程!B:B,"手机",出库全流程!W:W,C27)+SUMIFS(出库全流程!C:C,出库全流程!A:A,"零售电商仓",出库全流程!B:B,"手机",出库全流程!W:W,C27)</f>
        <v/>
      </c>
      <c r="I27" s="130" t="n"/>
      <c r="J27" s="153" t="n"/>
    </row>
    <row r="28" ht="15.6" customHeight="1" s="88">
      <c r="A28" s="144" t="n"/>
      <c r="B28" s="144" t="n"/>
      <c r="C28" s="146" t="inlineStr">
        <is>
          <t>乐视</t>
        </is>
      </c>
      <c r="D28" s="147">
        <f>SUMIFS(总库存!R:R,总库存!A:A,"增城省仓",总库存!B:B,"手机",总库存!U:U,C28)</f>
        <v/>
      </c>
      <c r="E28" s="147">
        <f>SUMIFS(总库存!E:E,总库存!A:A,"增城省仓",总库存!B:B,"手机",总库存!U:U,C28,总库存!E:E,1)</f>
        <v/>
      </c>
      <c r="F28" s="147">
        <f>SUMIFS(收货记录查询!Y:Y,收货记录查询!A:A,"增城省仓",收货记录查询!B:B,"手机",收货记录查询!M:M,C28,收货记录查询!C:C,$A$1)</f>
        <v/>
      </c>
      <c r="G28" s="130" t="n"/>
      <c r="H28" s="147">
        <f>SUMIFS(出库全流程!C:C,出库全流程!A:A,"增城省仓",出库全流程!B:B,"手机",出库全流程!W:W,C28)+SUMIFS(出库全流程!C:C,出库全流程!A:A,"零售电商仓",出库全流程!B:B,"手机",出库全流程!W:W,C28)</f>
        <v/>
      </c>
      <c r="I28" s="130" t="n"/>
      <c r="J28" s="153" t="n"/>
    </row>
    <row r="29" ht="15.6" customHeight="1" s="88">
      <c r="A29" s="144" t="n"/>
      <c r="B29" s="144" t="n"/>
      <c r="C29" s="146" t="inlineStr">
        <is>
          <t>iQOO</t>
        </is>
      </c>
      <c r="D29" s="147">
        <f>SUMIFS(总库存!R:R,总库存!A:A,"增城省仓",总库存!B:B,"手机",总库存!U:U,C29)</f>
        <v/>
      </c>
      <c r="E29" s="147">
        <f>SUMIFS(总库存!E:E,总库存!A:A,"增城省仓",总库存!B:B,"手机",总库存!U:U,C29,总库存!E:E,1)</f>
        <v/>
      </c>
      <c r="F29" s="147">
        <f>SUMIFS(收货记录查询!Y:Y,收货记录查询!A:A,"增城省仓",收货记录查询!B:B,"手机",收货记录查询!M:M,C29,收货记录查询!C:C,$A$1)</f>
        <v/>
      </c>
      <c r="G29" s="130" t="n"/>
      <c r="H29" s="147">
        <f>SUMIFS(出库全流程!C:C,出库全流程!A:A,"增城省仓",出库全流程!B:B,"手机",出库全流程!W:W,C29)+SUMIFS(出库全流程!C:C,出库全流程!A:A,"零售电商仓",出库全流程!B:B,"手机",出库全流程!W:W,C29)</f>
        <v/>
      </c>
      <c r="I29" s="130" t="n"/>
      <c r="J29" s="153" t="n"/>
    </row>
    <row r="30" ht="15.6" customHeight="1" s="88">
      <c r="A30" s="144" t="n"/>
      <c r="B30" s="144" t="n"/>
      <c r="C30" s="146" t="inlineStr">
        <is>
          <t>依偎科技</t>
        </is>
      </c>
      <c r="D30" s="147">
        <f>SUMIFS(总库存!R:R,总库存!A:A,"增城省仓",总库存!B:B,"手机",总库存!U:U,C30)</f>
        <v/>
      </c>
      <c r="E30" s="147">
        <f>SUMIFS(总库存!E:E,总库存!A:A,"增城省仓",总库存!B:B,"手机",总库存!U:U,C30,总库存!E:E,1)</f>
        <v/>
      </c>
      <c r="F30" s="147">
        <f>SUMIFS(收货记录查询!Y:Y,收货记录查询!A:A,"增城省仓",收货记录查询!B:B,"手机",收货记录查询!M:M,C30,收货记录查询!C:C,$A$1)</f>
        <v/>
      </c>
      <c r="G30" s="130" t="n"/>
      <c r="H30" s="147">
        <f>SUMIFS(出库全流程!C:C,出库全流程!A:A,"增城省仓",出库全流程!B:B,"手机",出库全流程!W:W,C30)+SUMIFS(出库全流程!C:C,出库全流程!A:A,"零售电商仓",出库全流程!B:B,"手机",出库全流程!W:W,C30)</f>
        <v/>
      </c>
      <c r="I30" s="130" t="n"/>
      <c r="J30" s="153" t="n"/>
    </row>
    <row r="31" ht="15.6" customHeight="1" s="88">
      <c r="A31" s="144" t="n"/>
      <c r="B31" s="144" t="n"/>
      <c r="C31" s="146" t="inlineStr">
        <is>
          <t>摩托罗拉</t>
        </is>
      </c>
      <c r="D31" s="147">
        <f>SUMIFS(总库存!R:R,总库存!A:A,"增城省仓",总库存!B:B,"手机",总库存!U:U,C31)</f>
        <v/>
      </c>
      <c r="E31" s="147">
        <f>SUMIFS(总库存!E:E,总库存!A:A,"增城省仓",总库存!B:B,"手机",总库存!U:U,C31,总库存!E:E,1)</f>
        <v/>
      </c>
      <c r="F31" s="147">
        <f>SUMIFS(收货记录查询!Y:Y,收货记录查询!A:A,"增城省仓",收货记录查询!B:B,"手机",收货记录查询!M:M,C31,收货记录查询!C:C,$A$1)</f>
        <v/>
      </c>
      <c r="G31" s="130" t="n"/>
      <c r="H31" s="147">
        <f>SUMIFS(出库全流程!C:C,出库全流程!A:A,"增城省仓",出库全流程!B:B,"手机",出库全流程!W:W,C31)+SUMIFS(出库全流程!C:C,出库全流程!A:A,"零售电商仓",出库全流程!B:B,"手机",出库全流程!W:W,C31)</f>
        <v/>
      </c>
      <c r="I31" s="130" t="n"/>
      <c r="J31" s="153" t="n"/>
    </row>
    <row r="32" ht="15.6" customHeight="1" s="88">
      <c r="A32" s="144" t="n"/>
      <c r="B32" s="135" t="n"/>
      <c r="C32" s="146" t="inlineStr">
        <is>
          <t>三星</t>
        </is>
      </c>
      <c r="D32" s="147">
        <f>SUMIFS(总库存!R:R,总库存!A:A,"增城省仓",总库存!B:B,"手机",总库存!U:U,C32)+SUMIFS(总库存!R:R,总库存!A:A,"增城省仓",总库存!B:B,"手机",总库存!U:U,"中国移动")</f>
        <v/>
      </c>
      <c r="E32" s="147">
        <f>SUMIFS(总库存!E:E,总库存!A:A,"增城省仓",总库存!B:B,"手机",总库存!U:U,C32,总库存!E:E,1)+SUMIFS(总库存!E:E,总库存!A:A,"增城省仓",总库存!B:B,"手机",总库存!U:U,"中国移动",总库存!E:E,1)</f>
        <v/>
      </c>
      <c r="F32" s="147">
        <f>SUMIFS(收货记录查询!Y:Y,收货记录查询!A:A,"增城省仓",收货记录查询!B:B,"手机",收货记录查询!M:M,C32,收货记录查询!C:C,$A$1)</f>
        <v/>
      </c>
      <c r="G32" s="130" t="n"/>
      <c r="H32" s="147">
        <f>SUMIFS(出库全流程!C:C,出库全流程!A:A,"增城省仓",出库全流程!B:B,"手机",出库全流程!W:W,C32)+SUMIFS(出库全流程!C:C,出库全流程!A:A,"零售电商仓",出库全流程!B:B,"手机",出库全流程!W:W,C32)+SUMIFS(出库全流程!C:C,出库全流程!A:A,"增城省仓",出库全流程!B:B,"手机",出库全流程!W:W,"中国移动")+SUMIFS(出库全流程!C:C,出库全流程!A:A,"零售电商仓",出库全流程!B:B,"手机",出库全流程!W:W,"中国移动")</f>
        <v/>
      </c>
      <c r="I32" s="130" t="n"/>
      <c r="J32" s="153" t="n"/>
    </row>
    <row r="33" ht="15.6" customHeight="1" s="88">
      <c r="A33" s="144" t="n"/>
      <c r="B33" s="146" t="inlineStr">
        <is>
          <t>多形态</t>
        </is>
      </c>
      <c r="C33" s="130" t="n"/>
      <c r="D33" s="147">
        <f>SUMIFS(总库存!R:R,总库存!A:A,"增城省仓",总库存!B:B,"多形态")</f>
        <v/>
      </c>
      <c r="E33" s="147">
        <f>SUMIFS(总库存!E:E,总库存!A:A,"增城省仓",总库存!B:B,"多形态",总库存!E:E,1)</f>
        <v/>
      </c>
      <c r="F33" s="147">
        <f>SUMIFS(收货记录查询!Y:Y,收货记录查询!A:A,"增城省仓",收货记录查询!B:B,"多形态",收货记录查询!C:C,$A$1)</f>
        <v/>
      </c>
      <c r="G33" s="130" t="n"/>
      <c r="H33" s="147">
        <f>SUMIFS(出库全流程!C:C,出库全流程!A:A,"增城省仓",出库全流程!B:B,B33)+SUMIFS(出库全流程!C:C,出库全流程!A:A,"零售电商仓",出库全流程!B:B,B33)</f>
        <v/>
      </c>
      <c r="I33" s="130" t="n"/>
      <c r="J33" s="77">
        <f>总库存!#REF!</f>
        <v/>
      </c>
    </row>
    <row r="34" ht="15.6" customHeight="1" s="88">
      <c r="A34" s="144" t="n"/>
      <c r="B34" s="146" t="inlineStr">
        <is>
          <t>配件</t>
        </is>
      </c>
      <c r="C34" s="130" t="n"/>
      <c r="D34" s="147">
        <f>SUMIFS(总库存!R:R,总库存!A:A,"增城省仓",总库存!B:B,"配件")</f>
        <v/>
      </c>
      <c r="E34" s="147">
        <f>SUMIFS(总库存!E:E,总库存!A:A,"增城省仓",总库存!B:B,"配件",总库存!E:E,1)</f>
        <v/>
      </c>
      <c r="F34" s="147">
        <f>SUMIFS(收货记录查询!Y:Y,收货记录查询!A:A,"增城省仓",收货记录查询!B:B,"配件",收货记录查询!C:C,$A$1)</f>
        <v/>
      </c>
      <c r="G34" s="130" t="n"/>
      <c r="H34" s="147">
        <f>SUMIFS(出库全流程!C:C,出库全流程!A:A,"增城省仓",出库全流程!B:B,B34)</f>
        <v/>
      </c>
      <c r="I34" s="130" t="n"/>
      <c r="J34" s="153">
        <f>总库存!#REF!</f>
        <v/>
      </c>
    </row>
    <row r="35" ht="15.6" customHeight="1" s="88">
      <c r="A35" s="144" t="n"/>
      <c r="B35" s="146" t="inlineStr">
        <is>
          <t>促销品</t>
        </is>
      </c>
      <c r="C35" s="130" t="n"/>
      <c r="D35" s="147">
        <f>SUMIFS(总库存!R:R,总库存!A:A,"增城省仓",总库存!B:B,"促销品")</f>
        <v/>
      </c>
      <c r="E35" s="147">
        <f>SUMIFS(总库存!E:E,总库存!A:A,"增城省仓",总库存!B:B,"促销品",总库存!E:E,1)</f>
        <v/>
      </c>
      <c r="F35" s="147">
        <f>SUMIFS(收货记录查询!Y:Y,收货记录查询!A:A,"增城省仓",收货记录查询!B:B,"促销品",收货记录查询!C:C,$A$1)</f>
        <v/>
      </c>
      <c r="G35" s="130" t="n"/>
      <c r="H35" s="147">
        <f>SUMIFS(出库全流程!C:C,出库全流程!A:A,"增城省仓",出库全流程!B:B,B35)</f>
        <v/>
      </c>
      <c r="I35" s="130" t="n"/>
      <c r="J35" s="153">
        <f>总库存!#REF!</f>
        <v/>
      </c>
    </row>
    <row r="36" ht="15.6" customHeight="1" s="88">
      <c r="A36" s="135" t="n"/>
      <c r="B36" s="146" t="inlineStr">
        <is>
          <t>宣传品</t>
        </is>
      </c>
      <c r="C36" s="130" t="n"/>
      <c r="D36" s="147" t="n">
        <v>0</v>
      </c>
      <c r="E36" s="147" t="n">
        <v>0</v>
      </c>
      <c r="F36" s="147">
        <f>SUMIFS(收货记录查询!Y:Y,收货记录查询!A:A,"增城省仓",收货记录查询!B:B,"促销品",收货记录查询!C:C,$A$1)</f>
        <v/>
      </c>
      <c r="G36" s="130" t="n"/>
      <c r="H36" s="147" t="n">
        <v>0</v>
      </c>
      <c r="I36" s="130" t="n"/>
      <c r="J36" s="153">
        <f>总库存!#REF!</f>
        <v/>
      </c>
    </row>
    <row r="37" ht="15.6" customFormat="1" customHeight="1" s="126">
      <c r="A37" s="155" t="inlineStr">
        <is>
          <t>深圳省仓</t>
        </is>
      </c>
      <c r="B37" s="155" t="inlineStr">
        <is>
          <t>手机</t>
        </is>
      </c>
      <c r="C37" s="155" t="inlineStr">
        <is>
          <t>欧珀</t>
        </is>
      </c>
      <c r="D37" s="147">
        <f>SUMIFS(总库存!R:R,总库存!A:A,"深圳省仓",总库存!B:B,"手机",总库存!U:U,C37)+SUMIFS(总库存!R:R,总库存!A:A,"深圳省仓",总库存!B:B,"手机",总库存!U:U,"REMAX")</f>
        <v/>
      </c>
      <c r="E37" s="147">
        <f>SUMIFS(总库存!E:E,总库存!A:A,"深圳省仓",总库存!B:B,"手机",总库存!U:U,C37,总库存!E:E,1)+SUMIFS(总库存!E:E,总库存!A:A,"深圳省仓",总库存!B:B,"手机",总库存!U:U,"remax",总库存!E:E,1)</f>
        <v/>
      </c>
      <c r="F37" s="147">
        <f>SUMIFS(收货记录查询!Y:Y,收货记录查询!A:A,"深圳省仓",收货记录查询!B:B,"手机",收货记录查询!M:M,C37,收货记录查询!C:C,$A$1)+SUMIFS(收货记录查询!Y:Y,收货记录查询!A:A,"深圳省仓",收货记录查询!B:B,"手机",收货记录查询!M:M,"remax",收货记录查询!C:C,$A$1)</f>
        <v/>
      </c>
      <c r="G37" s="130" t="n"/>
      <c r="H37" s="147">
        <f>SUMIFS(出库全流程!C:C,出库全流程!A:A,"深圳省仓",出库全流程!B:B,"手机",出库全流程!W:W,C37)+SUMIFS(出库全流程!C:C,出库全流程!A:A,"深圳省仓",出库全流程!B:B,"手机",出库全流程!W:W,"remax")</f>
        <v/>
      </c>
      <c r="I37" s="130" t="n"/>
      <c r="J37" s="156" t="n"/>
      <c r="K37" s="126" t="n"/>
      <c r="M37" s="81" t="n"/>
      <c r="P37" s="81" t="n"/>
    </row>
    <row r="38" ht="15.6" customFormat="1" customHeight="1" s="126">
      <c r="A38" s="144" t="n"/>
      <c r="B38" s="144" t="n"/>
      <c r="C38" s="155" t="inlineStr">
        <is>
          <t>维沃</t>
        </is>
      </c>
      <c r="D38" s="147">
        <f>SUMIFS(总库存!R:R,总库存!A:A,"深圳省仓",总库存!B:B,"手机",总库存!U:U,C38)</f>
        <v/>
      </c>
      <c r="E38" s="147">
        <f>SUMIFS(总库存!E:E,总库存!A:A,"深圳省仓",总库存!B:B,"手机",总库存!U:U,C38,总库存!E:E,1)</f>
        <v/>
      </c>
      <c r="F38" s="147">
        <f>SUMIFS(收货记录查询!Y:Y,收货记录查询!A:A,"深圳省仓",收货记录查询!B:B,"手机",收货记录查询!M:M,C38,收货记录查询!C:C,$A$1)</f>
        <v/>
      </c>
      <c r="G38" s="130" t="n"/>
      <c r="H38" s="147">
        <f>SUMIFS(出库全流程!C:C,出库全流程!A:A,"深圳省仓",出库全流程!B:B,"手机",出库全流程!W:W,C38)</f>
        <v/>
      </c>
      <c r="I38" s="130" t="n"/>
      <c r="J38" s="156" t="n"/>
      <c r="K38" s="126" t="n"/>
      <c r="M38" s="81" t="n"/>
      <c r="P38" s="81" t="n"/>
    </row>
    <row r="39" ht="15.6" customFormat="1" customHeight="1" s="126">
      <c r="A39" s="144" t="n"/>
      <c r="B39" s="144" t="n"/>
      <c r="C39" s="155" t="inlineStr">
        <is>
          <t>REALME</t>
        </is>
      </c>
      <c r="D39" s="147">
        <f>SUMIFS(总库存!R:R,总库存!A:A,"深圳省仓",总库存!B:B,"手机",总库存!U:U,C39)</f>
        <v/>
      </c>
      <c r="E39" s="147">
        <f>SUMIFS(总库存!E:E,总库存!A:A,"深圳省仓",总库存!B:B,"手机",总库存!U:U,C39,总库存!E:E,1)</f>
        <v/>
      </c>
      <c r="F39" s="147">
        <f>SUMIFS(收货记录查询!Y:Y,收货记录查询!A:A,"深圳省仓",收货记录查询!B:B,"手机",收货记录查询!M:M,C39,收货记录查询!C:C,$A$1)</f>
        <v/>
      </c>
      <c r="G39" s="130" t="n"/>
      <c r="H39" s="147">
        <f>SUMIFS(出库全流程!C:C,出库全流程!A:A,"深圳省仓",出库全流程!B:B,"手机",出库全流程!W:W,C39)</f>
        <v/>
      </c>
      <c r="I39" s="130" t="n"/>
      <c r="J39" s="156" t="n"/>
      <c r="K39" s="126" t="n"/>
      <c r="M39" s="81" t="n"/>
      <c r="P39" s="81" t="n"/>
    </row>
    <row r="40" ht="15.6" customFormat="1" customHeight="1" s="126">
      <c r="A40" s="144" t="n"/>
      <c r="B40" s="144" t="n"/>
      <c r="C40" s="155" t="inlineStr">
        <is>
          <t>华为</t>
        </is>
      </c>
      <c r="D40" s="147">
        <f>SUMIFS(总库存!R:R,总库存!A:A,"深圳省仓",总库存!B:B,"手机",总库存!U:U,C40)</f>
        <v/>
      </c>
      <c r="E40" s="147">
        <f>SUMIFS(总库存!E:E,总库存!A:A,"深圳省仓",总库存!B:B,"手机",总库存!U:U,C40,总库存!E:E,1)</f>
        <v/>
      </c>
      <c r="F40" s="147">
        <f>SUMIFS(收货记录查询!Y:Y,收货记录查询!A:A,"深圳省仓",收货记录查询!B:B,"手机",收货记录查询!M:M,C40,收货记录查询!C:C,$A$1)</f>
        <v/>
      </c>
      <c r="G40" s="130" t="n"/>
      <c r="H40" s="147">
        <f>SUMIFS(出库全流程!C:C,出库全流程!A:A,"深圳省仓",出库全流程!B:B,"手机",出库全流程!W:W,C40)</f>
        <v/>
      </c>
      <c r="I40" s="130" t="n"/>
      <c r="J40" s="156" t="n"/>
      <c r="K40" s="126" t="n"/>
      <c r="M40" s="81" t="n"/>
      <c r="P40" s="81" t="n"/>
    </row>
    <row r="41" ht="15.6" customFormat="1" customHeight="1" s="126">
      <c r="A41" s="144" t="n"/>
      <c r="B41" s="144" t="n"/>
      <c r="C41" s="155" t="inlineStr">
        <is>
          <t>一加</t>
        </is>
      </c>
      <c r="D41" s="147">
        <f>SUMIFS(总库存!R:R,总库存!A:A,"深圳省仓",总库存!B:B,"手机",总库存!U:U,C41)</f>
        <v/>
      </c>
      <c r="E41" s="147">
        <f>SUMIFS(总库存!E:E,总库存!A:A,"深圳省仓",总库存!B:B,"手机",总库存!U:U,C41,总库存!E:E,1)</f>
        <v/>
      </c>
      <c r="F41" s="147">
        <f>SUMIFS(收货记录查询!Y:Y,收货记录查询!A:A,"深圳省仓",收货记录查询!B:B,"手机",收货记录查询!M:M,C41,收货记录查询!C:C,$A$1)</f>
        <v/>
      </c>
      <c r="G41" s="130" t="n"/>
      <c r="H41" s="147">
        <f>SUMIFS(出库全流程!C:C,出库全流程!A:A,"深圳省仓",出库全流程!B:B,"手机",出库全流程!W:W,C41)</f>
        <v/>
      </c>
      <c r="I41" s="130" t="n"/>
      <c r="J41" s="156" t="n"/>
      <c r="K41" s="126" t="n"/>
      <c r="M41" s="81" t="n"/>
      <c r="P41" s="81" t="n"/>
    </row>
    <row r="42" ht="15.6" customFormat="1" customHeight="1" s="126">
      <c r="A42" s="144" t="n"/>
      <c r="B42" s="144" t="n"/>
      <c r="C42" s="155" t="inlineStr">
        <is>
          <t>唯科</t>
        </is>
      </c>
      <c r="D42" s="147">
        <f>SUMIFS(总库存!R:R,总库存!A:A,"深圳省仓",总库存!B:B,"手机",总库存!U:U,C42)</f>
        <v/>
      </c>
      <c r="E42" s="147">
        <f>SUMIFS(总库存!E:E,总库存!A:A,"深圳省仓",总库存!B:B,"手机",总库存!U:U,C42,总库存!E:E,1)</f>
        <v/>
      </c>
      <c r="F42" s="147">
        <f>SUMIFS(收货记录查询!Y:Y,收货记录查询!A:A,"深圳省仓",收货记录查询!B:B,"手机",收货记录查询!M:M,C42,收货记录查询!C:C,$A$1)</f>
        <v/>
      </c>
      <c r="G42" s="130" t="n"/>
      <c r="H42" s="147">
        <f>SUMIFS(出库全流程!C:C,出库全流程!A:A,"深圳省仓",出库全流程!B:B,"手机",出库全流程!W:W,C42)</f>
        <v/>
      </c>
      <c r="I42" s="130" t="n"/>
      <c r="J42" s="156" t="n"/>
      <c r="K42" s="126" t="n"/>
      <c r="M42" s="81" t="n"/>
      <c r="P42" s="81" t="n"/>
    </row>
    <row r="43" ht="15.6" customFormat="1" customHeight="1" s="126">
      <c r="A43" s="144" t="n"/>
      <c r="B43" s="144" t="n"/>
      <c r="C43" s="155" t="inlineStr">
        <is>
          <t>iQOO</t>
        </is>
      </c>
      <c r="D43" s="147">
        <f>SUMIFS(总库存!R:R,总库存!A:A,"深圳省仓",总库存!B:B,"手机",总库存!U:U,C43)</f>
        <v/>
      </c>
      <c r="E43" s="147">
        <f>SUMIFS(总库存!E:E,总库存!A:A,"深圳省仓",总库存!B:B,"手机",总库存!U:U,C43,总库存!E:E,1)</f>
        <v/>
      </c>
      <c r="F43" s="147">
        <f>SUMIFS(收货记录查询!Y:Y,收货记录查询!A:A,"深圳省仓",收货记录查询!B:B,"手机",收货记录查询!M:M,C43,收货记录查询!C:C,$A$1)</f>
        <v/>
      </c>
      <c r="G43" s="130" t="n"/>
      <c r="H43" s="147">
        <f>SUMIFS(出库全流程!C:C,出库全流程!A:A,"深圳省仓",出库全流程!B:B,"手机",出库全流程!W:W,C43)</f>
        <v/>
      </c>
      <c r="I43" s="130" t="n"/>
      <c r="J43" s="156" t="n"/>
      <c r="K43" s="126" t="n"/>
      <c r="M43" s="81" t="n"/>
      <c r="P43" s="81" t="n"/>
    </row>
    <row r="44" hidden="1" ht="15.6" customFormat="1" customHeight="1" s="126">
      <c r="A44" s="144" t="n"/>
      <c r="B44" s="144" t="n"/>
      <c r="C44" s="155" t="inlineStr">
        <is>
          <t>HI NOVA</t>
        </is>
      </c>
      <c r="D44" s="147">
        <f>SUMIFS(总库存!R:R,总库存!A:A,"深圳省仓",总库存!B:B,"手机",总库存!U:U,C44)</f>
        <v/>
      </c>
      <c r="E44" s="147">
        <f>SUMIFS(总库存!E:E,总库存!A:A,"深圳省仓",总库存!B:B,"手机",总库存!U:U,C44,总库存!E:E,1)</f>
        <v/>
      </c>
      <c r="F44" s="147">
        <f>SUMIFS(收货记录查询!Y:Y,收货记录查询!A:A,"深圳省仓",收货记录查询!B:B,"手机",收货记录查询!M:M,C44,收货记录查询!C:C,$A$1)</f>
        <v/>
      </c>
      <c r="G44" s="130" t="n"/>
      <c r="H44" s="147">
        <f>SUMIFS(出库全流程!C:C,出库全流程!A:A,"深圳省仓",出库全流程!B:B,"手机",出库全流程!W:W,C44)</f>
        <v/>
      </c>
      <c r="I44" s="130" t="n"/>
      <c r="J44" s="156" t="n"/>
      <c r="K44" s="126" t="n"/>
      <c r="M44" s="81" t="n"/>
      <c r="P44" s="81" t="n"/>
    </row>
    <row r="45" ht="15.6" customFormat="1" customHeight="1" s="126">
      <c r="A45" s="144" t="n"/>
      <c r="B45" s="144" t="n"/>
      <c r="C45" s="155" t="inlineStr">
        <is>
          <t>荣耀</t>
        </is>
      </c>
      <c r="D45" s="147">
        <f>SUMIFS(总库存!R:R,总库存!A:A,"深圳省仓",总库存!B:B,"手机",总库存!U:U,C45)</f>
        <v/>
      </c>
      <c r="E45" s="147">
        <f>SUMIFS(总库存!E:E,总库存!A:A,"深圳省仓",总库存!B:B,"手机",总库存!U:U,C45,总库存!E:E,1)</f>
        <v/>
      </c>
      <c r="F45" s="147">
        <f>SUMIFS(收货记录查询!Y:Y,收货记录查询!A:A,"深圳省仓",收货记录查询!B:B,"手机",收货记录查询!M:M,C45,收货记录查询!C:C,$A$1)</f>
        <v/>
      </c>
      <c r="G45" s="130" t="n"/>
      <c r="H45" s="147">
        <f>SUMIFS(出库全流程!C:C,出库全流程!A:A,"深圳省仓",出库全流程!B:B,"手机",出库全流程!W:W,C45)</f>
        <v/>
      </c>
      <c r="I45" s="130" t="n"/>
      <c r="J45" s="156" t="n"/>
      <c r="K45" s="126" t="n"/>
      <c r="M45" s="81" t="n"/>
      <c r="P45" s="81" t="n"/>
    </row>
    <row r="46" ht="15.6" customFormat="1" customHeight="1" s="126">
      <c r="A46" s="144" t="n"/>
      <c r="B46" s="135" t="n"/>
      <c r="C46" s="157" t="inlineStr">
        <is>
          <t>合计</t>
        </is>
      </c>
      <c r="D46" s="141">
        <f>SUM(D37:D45)</f>
        <v/>
      </c>
      <c r="E46" s="141">
        <f>SUM(E37:E45)</f>
        <v/>
      </c>
      <c r="F46" s="141">
        <f>SUM(F37:F45)</f>
        <v/>
      </c>
      <c r="G46" s="130" t="n"/>
      <c r="H46" s="141">
        <f>SUM(H37:H45)</f>
        <v/>
      </c>
      <c r="I46" s="130" t="n"/>
      <c r="J46" s="158" t="n"/>
      <c r="K46" s="126" t="n"/>
      <c r="M46" s="81" t="n"/>
      <c r="P46" s="81" t="n"/>
    </row>
    <row r="47" ht="15.6" customFormat="1" customHeight="1" s="126">
      <c r="A47" s="135" t="n"/>
      <c r="B47" s="155" t="inlineStr">
        <is>
          <t>多形态</t>
        </is>
      </c>
      <c r="C47" s="130" t="n"/>
      <c r="D47" s="147">
        <f>SUMIFS(总库存!R:R,总库存!A:A,"深圳省仓",总库存!B:B,"多形态")</f>
        <v/>
      </c>
      <c r="E47" s="147">
        <f>SUMIFS(总库存!E:E,总库存!A:A,"深圳省仓",总库存!B:B,"多形态",总库存!E:E,1)</f>
        <v/>
      </c>
      <c r="F47" s="147">
        <f>SUMIFS(收货记录查询!Y:Y,收货记录查询!A:A,"深圳省仓",收货记录查询!B:B,"多形态",收货记录查询!C:C,$A$1)</f>
        <v/>
      </c>
      <c r="G47" s="130" t="n"/>
      <c r="H47" s="147">
        <f>SUMIFS(出库全流程!C:C,出库全流程!A:A,"深圳省仓",出库全流程!B:B,B47)</f>
        <v/>
      </c>
      <c r="I47" s="130" t="n"/>
      <c r="J47" s="158" t="n"/>
      <c r="K47" s="126" t="n"/>
      <c r="M47" s="81" t="n"/>
      <c r="P47" s="81" t="n"/>
    </row>
    <row r="48" ht="15.6" customFormat="1" customHeight="1" s="126">
      <c r="A48" s="155" t="inlineStr">
        <is>
          <t>南沙省仓</t>
        </is>
      </c>
      <c r="B48" s="155" t="inlineStr">
        <is>
          <t>手机</t>
        </is>
      </c>
      <c r="C48" s="155" t="inlineStr">
        <is>
          <t>维沃</t>
        </is>
      </c>
      <c r="D48" s="147">
        <f>SUMIFS(总库存!R:R,总库存!A:A,"南沙省仓",总库存!B:B,"手机",总库存!U:U,C48)</f>
        <v/>
      </c>
      <c r="E48" s="147">
        <f>SUMIFS(总库存!E:E,总库存!A:A,"南沙省仓",总库存!B:B,"手机",总库存!U:U,C48,总库存!E:E,1)</f>
        <v/>
      </c>
      <c r="F48" s="147">
        <f>SUMIFS(收货记录查询!Y:Y,收货记录查询!A:A,"南沙省仓",收货记录查询!B:B,"手机",收货记录查询!M:M,C48,收货记录查询!C:C,$A$1)</f>
        <v/>
      </c>
      <c r="G48" s="130" t="n"/>
      <c r="H48" s="147">
        <f>SUMIFS(出库全流程!C:C,出库全流程!A:A,"南沙省仓",出库全流程!B:B,"手机",出库全流程!W:W,C48)</f>
        <v/>
      </c>
      <c r="I48" s="130" t="n"/>
      <c r="J48" s="158" t="n"/>
      <c r="K48" s="126" t="n"/>
      <c r="M48" s="81" t="n"/>
      <c r="P48" s="81" t="n"/>
    </row>
    <row r="49" hidden="1" ht="15.6" customFormat="1" customHeight="1" s="126">
      <c r="A49" s="144" t="n"/>
      <c r="B49" s="144" t="n"/>
      <c r="C49" s="155" t="inlineStr">
        <is>
          <t>华为</t>
        </is>
      </c>
      <c r="D49" s="147">
        <f>SUMIFS(总库存!R:R,总库存!A:A,"南沙省仓",总库存!B:B,"手机",总库存!U:U,C49)</f>
        <v/>
      </c>
      <c r="E49" s="147">
        <f>SUMIFS(总库存!E:E,总库存!A:A,"南沙省仓",总库存!B:B,"手机",总库存!U:U,C49,总库存!E:E,1)</f>
        <v/>
      </c>
      <c r="F49" s="147">
        <f>SUMIFS(收货记录查询!Y:Y,收货记录查询!A:A,"南沙省仓",收货记录查询!B:B,"手机",收货记录查询!M:M,C49,收货记录查询!C:C,$A$1)</f>
        <v/>
      </c>
      <c r="G49" s="130" t="n"/>
      <c r="H49" s="147">
        <f>SUMIFS(出库全流程!C:C,出库全流程!A:A,"南沙省仓",出库全流程!B:B,"手机",出库全流程!W:W,C49)</f>
        <v/>
      </c>
      <c r="I49" s="130" t="n"/>
      <c r="J49" s="158" t="n"/>
      <c r="K49" s="126" t="n"/>
      <c r="M49" s="81" t="n"/>
      <c r="P49" s="81" t="n"/>
    </row>
    <row r="50" ht="15.6" customFormat="1" customHeight="1" s="126">
      <c r="A50" s="144" t="n"/>
      <c r="B50" s="144" t="n"/>
      <c r="C50" s="155" t="inlineStr">
        <is>
          <t>小米科技</t>
        </is>
      </c>
      <c r="D50" s="147">
        <f>SUMIFS(总库存!R:R,总库存!A:A,"南沙省仓",总库存!B:B,"手机",总库存!U:U,C50)</f>
        <v/>
      </c>
      <c r="E50" s="147">
        <f>SUMIFS(总库存!E:E,总库存!A:A,"南沙省仓",总库存!B:B,"手机",总库存!U:U,C50,总库存!E:E,1)</f>
        <v/>
      </c>
      <c r="F50" s="147">
        <f>SUMIFS(收货记录查询!Y:Y,收货记录查询!A:A,"南沙省仓",收货记录查询!B:B,"手机",收货记录查询!M:M,C50,收货记录查询!C:C,$A$1)</f>
        <v/>
      </c>
      <c r="G50" s="130" t="n"/>
      <c r="H50" s="147">
        <f>SUMIFS(出库全流程!C:C,出库全流程!A:A,"南沙省仓",出库全流程!B:B,"手机",出库全流程!W:W,C50)</f>
        <v/>
      </c>
      <c r="I50" s="130" t="n"/>
      <c r="J50" s="158" t="n"/>
      <c r="K50" s="126" t="n"/>
      <c r="M50" s="81" t="n"/>
      <c r="P50" s="81" t="n"/>
    </row>
    <row r="51" ht="15.6" customFormat="1" customHeight="1" s="126">
      <c r="A51" s="144" t="n"/>
      <c r="B51" s="144" t="n"/>
      <c r="C51" s="155" t="inlineStr">
        <is>
          <t>IQOO</t>
        </is>
      </c>
      <c r="D51" s="147">
        <f>SUMIFS(总库存!R:R,总库存!A:A,"南沙省仓",总库存!B:B,"手机",总库存!U:U,C51)</f>
        <v/>
      </c>
      <c r="E51" s="147">
        <f>SUMIFS(总库存!E:E,总库存!A:A,"南沙省仓",总库存!B:B,"手机",总库存!U:U,C51,总库存!E:E,1)</f>
        <v/>
      </c>
      <c r="F51" s="147">
        <f>SUMIFS(收货记录查询!Y:Y,收货记录查询!A:A,"南沙省仓",收货记录查询!B:B,"手机",收货记录查询!M:M,C51,收货记录查询!C:C,$A$1)</f>
        <v/>
      </c>
      <c r="G51" s="130" t="n"/>
      <c r="H51" s="147">
        <f>SUMIFS(出库全流程!C:C,出库全流程!A:A,"南沙省仓",出库全流程!B:B,"手机",出库全流程!W:W,C51)</f>
        <v/>
      </c>
      <c r="I51" s="130" t="n"/>
      <c r="J51" s="158" t="n"/>
      <c r="K51" s="126" t="n"/>
      <c r="M51" s="81" t="n"/>
      <c r="P51" s="81" t="n"/>
    </row>
    <row r="52" ht="15.6" customHeight="1" s="88">
      <c r="A52" s="144" t="n"/>
      <c r="B52" s="135" t="n"/>
      <c r="C52" s="157" t="inlineStr">
        <is>
          <t>合计</t>
        </is>
      </c>
      <c r="D52" s="141">
        <f>SUM(D48:D51)</f>
        <v/>
      </c>
      <c r="E52" s="141">
        <f>SUM(E48:E51)</f>
        <v/>
      </c>
      <c r="F52" s="141">
        <f>SUM(F48:F51)</f>
        <v/>
      </c>
      <c r="G52" s="130" t="n"/>
      <c r="H52" s="141">
        <f>SUM(H48:H51)</f>
        <v/>
      </c>
      <c r="I52" s="130" t="n"/>
      <c r="J52" s="154" t="n"/>
      <c r="L52" s="126" t="n"/>
    </row>
    <row r="53" ht="15.6" customHeight="1" s="88">
      <c r="A53" s="135" t="n"/>
      <c r="B53" s="155" t="inlineStr">
        <is>
          <t>多形态</t>
        </is>
      </c>
      <c r="C53" s="130" t="n"/>
      <c r="D53" s="147">
        <f>SUMIFS(总库存!R:R,总库存!A:A,"南沙省仓",总库存!B:B,"多形态")</f>
        <v/>
      </c>
      <c r="E53" s="147">
        <f>SUMIFS(总库存!E:E,总库存!A:A,"南沙省仓",总库存!B:B,"多形态",总库存!E:E,1)</f>
        <v/>
      </c>
      <c r="F53" s="147">
        <f>SUMIFS(收货记录查询!Y:Y,收货记录查询!A:A,"南沙省仓",收货记录查询!B:B,"多形态",收货记录查询!C:C,$A$1)</f>
        <v/>
      </c>
      <c r="G53" s="130" t="n"/>
      <c r="H53" s="147">
        <f>SUMIFS(出库全流程!C:C,出库全流程!A:A,"南沙省仓",出库全流程!B:B,B53)</f>
        <v/>
      </c>
      <c r="I53" s="130" t="n"/>
      <c r="J53" s="154" t="n"/>
      <c r="K53" s="126" t="n"/>
      <c r="L53" s="126" t="n"/>
    </row>
    <row r="54" hidden="1" ht="15.6" customHeight="1" s="88">
      <c r="A54" s="155" t="inlineStr">
        <is>
          <t>粤北省仓</t>
        </is>
      </c>
      <c r="B54" s="155" t="inlineStr">
        <is>
          <t>手机</t>
        </is>
      </c>
      <c r="C54" s="155" t="inlineStr">
        <is>
          <t>欧珀</t>
        </is>
      </c>
      <c r="D54" s="147">
        <f>SUMIFS(总库存!R:R,总库存!A:A,"粤北仓",总库存!B:B,"手机",总库存!U:U,"欧珀")</f>
        <v/>
      </c>
      <c r="E54" s="147">
        <f>SUMIFS(总库存!U:U,总库存!A:A,"粤北仓",总库存!B:B,"手机",总库存!U:U,"欧珀",总库存!E:E,1)</f>
        <v/>
      </c>
      <c r="F54" s="147">
        <f>SUMIFS(收货记录查询!AA:AA,收货记录查询!A:A,"粤北仓",收货记录查询!B:B,"手机",收货记录查询!M:M,"欧珀",收货记录查询!C:C,$A$1)</f>
        <v/>
      </c>
      <c r="G54" s="147" t="n"/>
      <c r="H54" s="147">
        <f>SUMIFS(出库全流程!C:C,出库全流程!A:A,"深圳仓",出库全流程!B:B,"手机",出库全流程!W:W,C54)</f>
        <v/>
      </c>
      <c r="I54" s="147" t="n"/>
      <c r="J54" s="154" t="n"/>
      <c r="K54" s="126" t="n"/>
      <c r="L54" s="126" t="n"/>
    </row>
    <row r="55" hidden="1" ht="15.6" customFormat="1" customHeight="1" s="126">
      <c r="A55" s="135" t="n"/>
      <c r="B55" s="135" t="n"/>
      <c r="C55" s="155" t="inlineStr">
        <is>
          <t>一加</t>
        </is>
      </c>
      <c r="D55" s="147">
        <f>SUMIFS(总库存!R:R,总库存!A:A,"粤北仓",总库存!B:B,"手机",总库存!U:U,"一加")</f>
        <v/>
      </c>
      <c r="E55" s="147">
        <f>SUMIFS(总库存!U:U,总库存!A:A,"粤北仓",总库存!B:B,"手机",总库存!U:U,"一加",总库存!E:E,1)</f>
        <v/>
      </c>
      <c r="F55" s="147">
        <f>SUMIFS(收货记录查询!AA:AA,收货记录查询!A:A,"粤北仓",收货记录查询!B:B,"手机",收货记录查询!M:M,"一加",收货记录查询!C:C,$A$1)</f>
        <v/>
      </c>
      <c r="G55" s="147" t="n"/>
      <c r="H55" s="147">
        <f>SUMIFS(出库全流程!C:C,出库全流程!A:A,"深圳仓",出库全流程!B:B,"手机",出库全流程!W:W,C55)</f>
        <v/>
      </c>
      <c r="I55" s="147" t="n"/>
      <c r="J55" s="158" t="n"/>
      <c r="K55" s="126" t="n"/>
      <c r="M55" s="81" t="n"/>
      <c r="P55" s="81" t="n"/>
    </row>
    <row r="56" hidden="1" ht="15.6" customFormat="1" customHeight="1" s="126">
      <c r="A56" s="155" t="inlineStr">
        <is>
          <t>中珠省仓</t>
        </is>
      </c>
      <c r="B56" s="155" t="inlineStr">
        <is>
          <t>手机</t>
        </is>
      </c>
      <c r="C56" s="155" t="inlineStr">
        <is>
          <t>欧珀</t>
        </is>
      </c>
      <c r="D56" s="147">
        <f>SUMIFS(总库存!R:R,总库存!A:A,"中珠仓",总库存!B:B,"手机",总库存!U:U,"欧珀")</f>
        <v/>
      </c>
      <c r="E56" s="147">
        <f>SUMIFS(总库存!U:U,总库存!A:A,"中珠仓",总库存!B:B,"手机",总库存!U:U,"欧珀",总库存!E:E,1)</f>
        <v/>
      </c>
      <c r="F56" s="147">
        <f>SUMIFS(收货记录查询!AA:AA,收货记录查询!A:A,"中珠仓",收货记录查询!B:B,"手机",收货记录查询!M:M,"欧珀",收货记录查询!C:C,$A$1)</f>
        <v/>
      </c>
      <c r="G56" s="147" t="n"/>
      <c r="H56" s="147">
        <f>SUMIFS(出库全流程!C:C,出库全流程!A:A,"深圳仓",出库全流程!B:B,"手机",出库全流程!W:W,C56)</f>
        <v/>
      </c>
      <c r="I56" s="147" t="n"/>
      <c r="J56" s="158" t="n"/>
      <c r="K56" s="126" t="n"/>
      <c r="M56" s="81" t="n"/>
      <c r="P56" s="81" t="n"/>
    </row>
    <row r="57" hidden="1" ht="15.6" customHeight="1" s="88">
      <c r="A57" s="135" t="n"/>
      <c r="B57" s="135" t="n"/>
      <c r="C57" s="155" t="inlineStr">
        <is>
          <t>一加</t>
        </is>
      </c>
      <c r="D57" s="147">
        <f>SUMIFS(总库存!R:R,总库存!A:A,"中珠仓",总库存!B:B,"手机",总库存!U:U,"一加")</f>
        <v/>
      </c>
      <c r="E57" s="147">
        <f>SUMIFS(总库存!U:U,总库存!A:A,"中珠仓",总库存!B:B,"手机",总库存!U:U,"一加",总库存!E:E,1)</f>
        <v/>
      </c>
      <c r="F57" s="147">
        <f>SUMIFS(收货记录查询!AA:AA,收货记录查询!A:A,"中珠仓",收货记录查询!B:B,"手机",收货记录查询!M:M,"一加",收货记录查询!C:C,$A$1)</f>
        <v/>
      </c>
      <c r="G57" s="147" t="n"/>
      <c r="H57" s="147">
        <f>SUMIFS(出库全流程!C:C,出库全流程!A:A,"深圳仓",出库全流程!B:B,"手机",出库全流程!W:W,C57)</f>
        <v/>
      </c>
      <c r="I57" s="147" t="n"/>
      <c r="J57" s="154" t="n"/>
      <c r="L57" s="126" t="n"/>
    </row>
    <row r="58" hidden="1" ht="15.6" customHeight="1" s="88">
      <c r="A58" s="155" t="inlineStr">
        <is>
          <t>粤东花都仓</t>
        </is>
      </c>
      <c r="B58" s="155" t="inlineStr">
        <is>
          <t>手机</t>
        </is>
      </c>
      <c r="C58" s="155" t="inlineStr">
        <is>
          <t>欧珀</t>
        </is>
      </c>
      <c r="D58" s="147">
        <f>SUMIFS(总库存!R:R,总库存!A:A,"粤东花都仓",总库存!B:B,"手机",总库存!U:U,"欧珀")</f>
        <v/>
      </c>
      <c r="E58" s="147">
        <f>SUMIFS(总库存!U:U,总库存!A:A,"粤东花都仓",总库存!B:B,"手机",总库存!U:U,"欧珀",总库存!E:E,1)</f>
        <v/>
      </c>
      <c r="F58" s="147">
        <f>SUMIFS(收货记录查询!AA:AA,收货记录查询!A:A,"粤东花都仓",收货记录查询!B:B,"手机",收货记录查询!M:M,"欧珀",收货记录查询!C:C,$A$1)</f>
        <v/>
      </c>
      <c r="G58" s="147" t="n"/>
      <c r="H58" s="147">
        <f>SUMIFS(出库全流程!C:C,出库全流程!A:A,"深圳仓",出库全流程!B:B,"手机",出库全流程!W:W,C58)</f>
        <v/>
      </c>
      <c r="I58" s="147" t="n"/>
      <c r="J58" s="154" t="n"/>
      <c r="L58" s="126" t="n"/>
    </row>
    <row r="59" ht="18" customHeight="1" s="88">
      <c r="A59" s="138" t="inlineStr">
        <is>
          <t>夏茅省仓</t>
        </is>
      </c>
      <c r="B59" s="159" t="inlineStr">
        <is>
          <t>手机</t>
        </is>
      </c>
      <c r="C59" s="155" t="inlineStr">
        <is>
          <t>华为</t>
        </is>
      </c>
      <c r="D59" s="147">
        <f>SUMIFS(总库存!R:R,总库存!A:A,"夏茅省仓",总库存!B:B,"手机",总库存!U:U,C59)</f>
        <v/>
      </c>
      <c r="E59" s="147">
        <f>SUMIFS(总库存!E:E,总库存!A:A,"夏茅省仓",总库存!B:B,"手机",总库存!U:U,C59,总库存!E:E,1)</f>
        <v/>
      </c>
      <c r="F59" s="147">
        <f>SUMIFS(收货记录查询!Y:Y,收货记录查询!A:A,"夏茅省仓",收货记录查询!B:B,"手机",收货记录查询!M:M,C59,收货记录查询!C:C,$A$1)</f>
        <v/>
      </c>
      <c r="G59" s="130" t="n"/>
      <c r="H59" s="147">
        <f>SUMIFS(出库全流程!C:C,出库全流程!A:A,"夏茅省仓",出库全流程!B:B,"手机",出库全流程!W:W,C59)</f>
        <v/>
      </c>
      <c r="I59" s="130" t="n"/>
      <c r="J59" s="154" t="n"/>
      <c r="L59" s="126" t="n"/>
    </row>
    <row r="60" hidden="1" ht="15.6" customHeight="1" s="88">
      <c r="A60" s="144" t="n"/>
      <c r="B60" s="144" t="n"/>
      <c r="C60" s="155" t="inlineStr">
        <is>
          <t>小米科技</t>
        </is>
      </c>
      <c r="D60" s="147">
        <f>SUMIFS(总库存!R:R,总库存!A:A,"夏茅省仓",总库存!B:B,"手机",总库存!U:U,C60)</f>
        <v/>
      </c>
      <c r="E60" s="147">
        <f>SUMIFS(总库存!E:E,总库存!A:A,"夏茅省仓",总库存!B:B,"手机",总库存!U:U,C60,总库存!E:E,1)</f>
        <v/>
      </c>
      <c r="F60" s="147">
        <f>SUMIFS(收货记录查询!Y:Y,收货记录查询!A:A,"夏茅省仓",收货记录查询!B:B,"手机",收货记录查询!M:M,C60,收货记录查询!C:C,$A$1)</f>
        <v/>
      </c>
      <c r="G60" s="130" t="n"/>
      <c r="H60" s="147">
        <f>SUMIFS(出库全流程!C:C,出库全流程!A:A,"夏茅省仓",出库全流程!B:B,"手机",出库全流程!W:W,C60)</f>
        <v/>
      </c>
      <c r="I60" s="130" t="n"/>
      <c r="J60" s="154" t="n"/>
      <c r="L60" s="126" t="n"/>
    </row>
    <row r="61" ht="15.6" customHeight="1" s="88">
      <c r="A61" s="144" t="n"/>
      <c r="B61" s="144" t="n"/>
      <c r="C61" s="155" t="inlineStr">
        <is>
          <t>HI NOVA</t>
        </is>
      </c>
      <c r="D61" s="147">
        <f>SUMIFS(总库存!R:R,总库存!A:A,"夏茅省仓",总库存!B:B,"手机",总库存!U:U,C61)</f>
        <v/>
      </c>
      <c r="E61" s="147">
        <f>SUMIFS(总库存!E:E,总库存!A:A,"夏茅省仓",总库存!B:B,"手机",总库存!U:U,C61,总库存!E:E,1)</f>
        <v/>
      </c>
      <c r="F61" s="147">
        <f>SUMIFS(收货记录查询!Y:Y,收货记录查询!A:A,"夏茅省仓",收货记录查询!B:B,"手机",收货记录查询!M:M,C61,收货记录查询!C:C,$A$1)</f>
        <v/>
      </c>
      <c r="G61" s="130" t="n"/>
      <c r="H61" s="147">
        <f>SUMIFS(出库全流程!C:C,出库全流程!A:A,"夏茅省仓",出库全流程!B:B,"手机",出库全流程!W:W,C61)</f>
        <v/>
      </c>
      <c r="I61" s="130" t="n"/>
      <c r="J61" s="154" t="n"/>
      <c r="L61" s="126" t="n"/>
    </row>
    <row r="62" ht="15.6" customHeight="1" s="88">
      <c r="A62" s="144" t="n"/>
      <c r="B62" s="144" t="n"/>
      <c r="C62" s="155" t="inlineStr">
        <is>
          <t>唯科</t>
        </is>
      </c>
      <c r="D62" s="147">
        <f>SUMIFS(总库存!R:R,总库存!A:A,"夏茅省仓",总库存!B:B,"手机",总库存!U:U,C62)</f>
        <v/>
      </c>
      <c r="E62" s="147">
        <f>SUMIFS(总库存!E:E,总库存!A:A,"夏茅省仓",总库存!B:B,"手机",总库存!U:U,C62,总库存!E:E,1)</f>
        <v/>
      </c>
      <c r="F62" s="147">
        <f>SUMIFS(收货记录查询!Y:Y,收货记录查询!A:A,"夏茅省仓",收货记录查询!B:B,"手机",收货记录查询!M:M,C62,收货记录查询!C:C,$A$1)</f>
        <v/>
      </c>
      <c r="G62" s="130" t="n"/>
      <c r="H62" s="147">
        <f>SUMIFS(出库全流程!C:C,出库全流程!A:A,"夏茅省仓",出库全流程!B:B,"手机",出库全流程!W:W,C62)</f>
        <v/>
      </c>
      <c r="I62" s="130" t="n"/>
      <c r="J62" s="154" t="n"/>
      <c r="L62" s="126" t="n"/>
    </row>
    <row r="63" ht="15.6" customHeight="1" s="88">
      <c r="A63" s="144" t="n"/>
      <c r="B63" s="144" t="n"/>
      <c r="C63" s="160" t="inlineStr">
        <is>
          <t>合计</t>
        </is>
      </c>
      <c r="D63" s="141">
        <f>SUM(D59:D62)</f>
        <v/>
      </c>
      <c r="E63" s="141">
        <f>SUM(E59:E62)</f>
        <v/>
      </c>
      <c r="F63" s="141">
        <f>SUM(F59:F62)</f>
        <v/>
      </c>
      <c r="G63" s="130" t="n"/>
      <c r="H63" s="141">
        <f>SUM(H59:H62)</f>
        <v/>
      </c>
      <c r="I63" s="130" t="n"/>
      <c r="J63" s="154" t="n"/>
      <c r="L63" s="126" t="n"/>
      <c r="M63" s="81" t="n"/>
      <c r="P63" s="81" t="n"/>
    </row>
    <row r="64" ht="15.6" customHeight="1" s="88">
      <c r="A64" s="135" t="n"/>
      <c r="B64" s="155" t="inlineStr">
        <is>
          <t>多形态</t>
        </is>
      </c>
      <c r="C64" s="130" t="n"/>
      <c r="D64" s="147">
        <f>SUMIFS(总库存!R:R,总库存!A:A,"夏茅省仓",总库存!B:B,"多形态")</f>
        <v/>
      </c>
      <c r="E64" s="147">
        <f>SUMIFS(总库存!E:E,总库存!A:A,"夏茅省仓",总库存!B:B,"多形态",总库存!E:E,1)</f>
        <v/>
      </c>
      <c r="F64" s="147">
        <f>SUMIFS(收货记录查询!Y:Y,收货记录查询!A:A,"夏茅省仓",收货记录查询!B:B,"多形态",收货记录查询!C:C,$A$1)</f>
        <v/>
      </c>
      <c r="G64" s="130" t="n"/>
      <c r="H64" s="147">
        <f>SUMIFS(出库全流程!C:C,出库全流程!A:A,"夏茅省仓",出库全流程!B:B,B64)</f>
        <v/>
      </c>
      <c r="I64" s="130" t="n"/>
      <c r="J64" s="154" t="n"/>
      <c r="L64" s="126" t="n"/>
      <c r="M64" s="81" t="n"/>
      <c r="P64" s="81" t="n"/>
    </row>
    <row r="65" ht="15.6" customHeight="1" s="88">
      <c r="A65" s="159" t="inlineStr">
        <is>
          <t>花都省仓</t>
        </is>
      </c>
      <c r="B65" s="138" t="inlineStr">
        <is>
          <t>手机</t>
        </is>
      </c>
      <c r="C65" s="155" t="inlineStr">
        <is>
          <t>一加</t>
        </is>
      </c>
      <c r="D65" s="147">
        <f>SUMIFS(总库存!R:R,总库存!A:A,"花都省仓",总库存!B:B,"手机",总库存!U:U,C65)</f>
        <v/>
      </c>
      <c r="E65" s="147">
        <f>SUMIFS(总库存!E:E,总库存!A:A,"花都省仓",总库存!B:B,"手机",总库存!U:U,C65,总库存!E:E,1)</f>
        <v/>
      </c>
      <c r="F65" s="147">
        <f>SUMIFS(收货记录查询!Y:Y,收货记录查询!A:A,"花都省仓",收货记录查询!B:B,"手机",收货记录查询!M:M,C65,收货记录查询!C:C,$A$1)</f>
        <v/>
      </c>
      <c r="G65" s="130" t="n"/>
      <c r="H65" s="147">
        <f>SUMIFS(出库全流程!C:C,出库全流程!A:A,"花都省仓",出库全流程!B:B,"手机",出库全流程!W:W,C65)</f>
        <v/>
      </c>
      <c r="I65" s="130" t="n"/>
      <c r="J65" s="154" t="n"/>
      <c r="L65" s="126" t="n"/>
    </row>
    <row r="66" ht="15.6" customHeight="1" s="88">
      <c r="A66" s="144" t="n"/>
      <c r="B66" s="144" t="n"/>
      <c r="C66" s="155" t="inlineStr">
        <is>
          <t>REALME</t>
        </is>
      </c>
      <c r="D66" s="147">
        <f>SUMIFS(总库存!R:R,总库存!A:A,"花都省仓",总库存!B:B,"手机",总库存!U:U,C66)</f>
        <v/>
      </c>
      <c r="E66" s="147">
        <f>SUMIFS(总库存!E:E,总库存!A:A,"花都省仓",总库存!B:B,"手机",总库存!U:U,C66,总库存!E:E,1)</f>
        <v/>
      </c>
      <c r="F66" s="147">
        <f>SUMIFS(收货记录查询!Y:Y,收货记录查询!A:A,"花都省仓",收货记录查询!B:B,"手机",收货记录查询!M:M,C66,收货记录查询!C:C,$A$1)</f>
        <v/>
      </c>
      <c r="G66" s="130" t="n"/>
      <c r="H66" s="147">
        <f>SUMIFS(出库全流程!C:C,出库全流程!A:A,"花都省仓",出库全流程!B:B,"手机",出库全流程!W:W,C66)</f>
        <v/>
      </c>
      <c r="I66" s="130" t="n"/>
      <c r="J66" s="154" t="n"/>
      <c r="L66" s="126" t="n"/>
    </row>
    <row r="67" ht="15.6" customHeight="1" s="88">
      <c r="A67" s="144" t="n"/>
      <c r="B67" s="144" t="n"/>
      <c r="C67" s="155" t="inlineStr">
        <is>
          <t>REMAX</t>
        </is>
      </c>
      <c r="D67" s="147">
        <f>SUMIFS(总库存!R:R,总库存!A:A,"花都省仓",总库存!B:B,"手机",总库存!U:U,C67)</f>
        <v/>
      </c>
      <c r="E67" s="147">
        <f>SUMIFS(总库存!E:E,总库存!A:A,"花都省仓",总库存!B:B,"手机",总库存!U:U,C67,总库存!E:E,1)</f>
        <v/>
      </c>
      <c r="F67" s="147">
        <f>SUMIFS(收货记录查询!Y:Y,收货记录查询!A:A,"花都省仓",收货记录查询!B:B,"手机",收货记录查询!M:M,C67,收货记录查询!C:C,$A$1)</f>
        <v/>
      </c>
      <c r="G67" s="130" t="n"/>
      <c r="H67" s="147">
        <f>SUMIFS(出库全流程!C:C,出库全流程!A:A,"花都省仓",出库全流程!B:B,"手机",出库全流程!W:W,C67)</f>
        <v/>
      </c>
      <c r="I67" s="130" t="n"/>
      <c r="J67" s="154" t="n"/>
      <c r="L67" s="126" t="n"/>
    </row>
    <row r="68" ht="15.6" customHeight="1" s="88">
      <c r="A68" s="144" t="n"/>
      <c r="B68" s="144" t="n"/>
      <c r="C68" s="155" t="inlineStr">
        <is>
          <t>欧珀</t>
        </is>
      </c>
      <c r="D68" s="147">
        <f>SUMIFS(总库存!R:R,总库存!A:A,"花都省仓",总库存!B:B,"手机",总库存!U:U,C68)</f>
        <v/>
      </c>
      <c r="E68" s="147">
        <f>SUMIFS(总库存!E:E,总库存!A:A,"花都省仓",总库存!B:B,"手机",总库存!U:U,C68,总库存!E:E,1)</f>
        <v/>
      </c>
      <c r="F68" s="147">
        <f>SUMIFS(收货记录查询!Y:Y,收货记录查询!A:A,"花都省仓",收货记录查询!B:B,"手机",收货记录查询!M:M,C68,收货记录查询!C:C,$A$1)</f>
        <v/>
      </c>
      <c r="G68" s="130" t="n"/>
      <c r="H68" s="147">
        <f>SUMIFS(出库全流程!C:C,出库全流程!A:A,"花都省仓",出库全流程!B:B,"手机",出库全流程!W:W,C68)</f>
        <v/>
      </c>
      <c r="I68" s="130" t="n"/>
      <c r="J68" s="154" t="n"/>
      <c r="L68" s="126" t="n"/>
    </row>
    <row r="69" ht="15.6" customHeight="1" s="88">
      <c r="A69" s="144" t="n"/>
      <c r="B69" s="135" t="n"/>
      <c r="C69" s="140" t="inlineStr">
        <is>
          <t>合计</t>
        </is>
      </c>
      <c r="D69" s="141">
        <f>SUM(D65:D68)</f>
        <v/>
      </c>
      <c r="E69" s="141">
        <f>SUM(E65:E68)</f>
        <v/>
      </c>
      <c r="F69" s="141">
        <f>SUM(F65:F68)</f>
        <v/>
      </c>
      <c r="G69" s="130" t="n"/>
      <c r="H69" s="141">
        <f>SUM(H65:H68)</f>
        <v/>
      </c>
      <c r="I69" s="130" t="n"/>
      <c r="J69" s="154" t="n"/>
      <c r="L69" s="126" t="n"/>
    </row>
    <row r="70" ht="15.6" customHeight="1" s="88">
      <c r="A70" s="144" t="n"/>
      <c r="B70" s="155" t="inlineStr">
        <is>
          <t>多形态</t>
        </is>
      </c>
      <c r="C70" s="130" t="n"/>
      <c r="D70" s="147">
        <f>SUMIFS(总库存!R:R,总库存!A:A,"花都省仓",总库存!B:B,"多形态")</f>
        <v/>
      </c>
      <c r="E70" s="147">
        <f>SUMIFS(总库存!E:E,总库存!A:A,"花都省仓",总库存!B:B,"多形态",总库存!E:E,1)</f>
        <v/>
      </c>
      <c r="F70" s="147">
        <f>SUMIFS(收货记录查询!Y:Y,收货记录查询!A:A,"花都省仓",收货记录查询!B:B,"多形态",收货记录查询!C:C,$A$1)</f>
        <v/>
      </c>
      <c r="G70" s="130" t="n"/>
      <c r="H70" s="147">
        <f>SUMIFS(出库全流程!C:C,出库全流程!A:A,"花都省仓",出库全流程!B:B,B70)</f>
        <v/>
      </c>
      <c r="I70" s="130" t="n"/>
      <c r="J70" s="154" t="n"/>
      <c r="L70" s="126" t="n"/>
    </row>
    <row r="71" ht="15.6" customHeight="1" s="88">
      <c r="A71" s="138" t="inlineStr">
        <is>
          <t>中珠省仓</t>
        </is>
      </c>
      <c r="B71" s="161" t="inlineStr">
        <is>
          <t>手机</t>
        </is>
      </c>
      <c r="C71" s="162" t="inlineStr">
        <is>
          <t>REALME</t>
        </is>
      </c>
      <c r="D71" s="147">
        <f>SUMIFS(总库存!R:R,总库存!A:A,"中珠省仓",总库存!B:B,"手机",总库存!U:U,C71)</f>
        <v/>
      </c>
      <c r="E71" s="147">
        <f>SUMIFS(总库存!E:E,总库存!A:A,"中珠省仓",总库存!B:B,"手机",总库存!U:U,C71,总库存!E:E,1)</f>
        <v/>
      </c>
      <c r="F71" s="147">
        <f>SUMIFS(收货记录查询!Y:Y,收货记录查询!A:A,"中珠省仓",收货记录查询!B:B,"手机",收货记录查询!M:M,C71,收货记录查询!C:C,$A$1)</f>
        <v/>
      </c>
      <c r="G71" s="130" t="n"/>
      <c r="H71" s="147">
        <f>SUMIFS(出库全流程!C:C,出库全流程!A:A,"中珠省仓",出库全流程!B:B,"手机",出库全流程!W:W,C71)</f>
        <v/>
      </c>
      <c r="I71" s="130" t="n"/>
      <c r="J71" s="154" t="n"/>
      <c r="L71" s="126" t="n"/>
    </row>
    <row r="72" ht="15.6" customHeight="1" s="88">
      <c r="A72" s="144" t="n"/>
      <c r="B72" s="144" t="n"/>
      <c r="C72" s="162" t="inlineStr">
        <is>
          <t>一加</t>
        </is>
      </c>
      <c r="D72" s="147">
        <f>SUMIFS(总库存!R:R,总库存!A:A,"中珠省仓",总库存!B:B,"手机",总库存!U:U,C72)</f>
        <v/>
      </c>
      <c r="E72" s="147">
        <f>SUMIFS(总库存!E:E,总库存!A:A,"中珠省仓",总库存!B:B,"手机",总库存!U:U,C72,总库存!E:E,1)</f>
        <v/>
      </c>
      <c r="F72" s="147">
        <f>SUMIFS(收货记录查询!Y:Y,收货记录查询!A:A,"中珠省仓",收货记录查询!B:B,"手机",收货记录查询!M:M,C72,收货记录查询!C:C,$A$1)</f>
        <v/>
      </c>
      <c r="G72" s="130" t="n"/>
      <c r="H72" s="147">
        <f>SUMIFS(出库全流程!C:C,出库全流程!A:A,"中珠省仓",出库全流程!B:B,"手机",出库全流程!W:W,C72)</f>
        <v/>
      </c>
      <c r="I72" s="130" t="n"/>
      <c r="J72" s="154" t="n"/>
      <c r="L72" s="126" t="n"/>
    </row>
    <row r="73" ht="15.6" customHeight="1" s="88">
      <c r="A73" s="144" t="n"/>
      <c r="B73" s="144" t="n"/>
      <c r="C73" s="155" t="inlineStr">
        <is>
          <t>欧珀</t>
        </is>
      </c>
      <c r="D73" s="147">
        <f>SUMIFS(总库存!R:R,总库存!A:A,"中珠省仓",总库存!B:B,"手机",总库存!U:U,C73)+SUMIFS(总库存!R:R,总库存!A:A,"中珠省仓",总库存!B:B,"手机",总库存!U:U,"REMAX")</f>
        <v/>
      </c>
      <c r="E73" s="147">
        <f>SUMIFS(总库存!E:E,总库存!A:A,"中珠省仓",总库存!B:B,"手机",总库存!U:U,C73,总库存!E:E,1)+SUMIFS(总库存!E:E,总库存!A:A,"中珠省仓",总库存!B:B,"手机",总库存!U:U,"remax",总库存!E:E,1)</f>
        <v/>
      </c>
      <c r="F73" s="147">
        <f>SUMIFS(收货记录查询!Y:Y,收货记录查询!A:A,"中珠省仓",收货记录查询!B:B,"手机",收货记录查询!M:M,C73,收货记录查询!C:C,$A$1)+SUMIFS(收货记录查询!Y:Y,收货记录查询!A:A,"中珠省仓",收货记录查询!B:B,"手机",收货记录查询!M:M,"remax",收货记录查询!C:C,$A$1)</f>
        <v/>
      </c>
      <c r="G73" s="130" t="n"/>
      <c r="H73" s="147">
        <f>SUMIFS(出库全流程!C:C,出库全流程!A:A,"中珠省仓",出库全流程!B:B,"手机",出库全流程!W:W,C73)+SUMIFS(出库全流程!C:C,出库全流程!A:A,"中珠省仓",出库全流程!B:B,"手机",出库全流程!W:W,"remax")</f>
        <v/>
      </c>
      <c r="I73" s="130" t="n"/>
      <c r="J73" s="154" t="n"/>
      <c r="L73" s="126" t="n"/>
    </row>
    <row r="74" ht="15.6" customHeight="1" s="88">
      <c r="A74" s="144" t="n"/>
      <c r="B74" s="144" t="n"/>
      <c r="C74" s="160" t="inlineStr">
        <is>
          <t>合计</t>
        </is>
      </c>
      <c r="D74" s="141">
        <f>SUM(D71:D73)</f>
        <v/>
      </c>
      <c r="E74" s="141">
        <f>SUM(E71:E73)</f>
        <v/>
      </c>
      <c r="F74" s="141">
        <f>SUM(F71:F73)</f>
        <v/>
      </c>
      <c r="G74" s="130" t="n"/>
      <c r="H74" s="141">
        <f>SUM(H71:H73)</f>
        <v/>
      </c>
      <c r="I74" s="130" t="n"/>
      <c r="J74" s="154" t="n"/>
      <c r="L74" s="126" t="n"/>
    </row>
    <row r="75" ht="15.6" customHeight="1" s="88">
      <c r="A75" s="135" t="n"/>
      <c r="B75" s="155" t="inlineStr">
        <is>
          <t>多形态</t>
        </is>
      </c>
      <c r="C75" s="130" t="n"/>
      <c r="D75" s="147">
        <f>SUMIFS(总库存!R:R,总库存!A:A,"中珠省仓",总库存!B:B,"多形态")</f>
        <v/>
      </c>
      <c r="E75" s="147">
        <f>SUMIFS(总库存!E:E,总库存!A:A,"中珠省仓",总库存!B:B,"多形态",总库存!E:E,1)</f>
        <v/>
      </c>
      <c r="F75" s="147">
        <f>SUMIFS(收货记录查询!Y:Y,收货记录查询!A:A,"中珠省仓",收货记录查询!B:B,"多形态",收货记录查询!C:C,$A$1)</f>
        <v/>
      </c>
      <c r="G75" s="130" t="n"/>
      <c r="H75" s="147">
        <f>SUMIFS(出库全流程!C:C,出库全流程!A:A,"中珠省仓",出库全流程!B:B,B75)</f>
        <v/>
      </c>
      <c r="I75" s="130" t="n"/>
      <c r="J75" s="154" t="n"/>
      <c r="L75" s="126" t="n"/>
    </row>
    <row r="76" ht="15.6" customHeight="1" s="88">
      <c r="A76" s="159" t="inlineStr">
        <is>
          <t>东莞省仓</t>
        </is>
      </c>
      <c r="B76" s="155" t="inlineStr">
        <is>
          <t>手机</t>
        </is>
      </c>
      <c r="C76" s="163" t="inlineStr">
        <is>
          <t>荣耀</t>
        </is>
      </c>
      <c r="D76" s="147">
        <f>SUMIFS(总库存!R:R,总库存!A:A,"东莞省仓",总库存!B:B,"手机",总库存!U:U,C76)</f>
        <v/>
      </c>
      <c r="E76" s="147">
        <f>SUMIFS(总库存!E:E,总库存!A:A,"东莞省仓",总库存!B:B,"手机",总库存!U:U,C76,总库存!E:E,1)</f>
        <v/>
      </c>
      <c r="F76" s="147">
        <f>SUMIFS(收货记录查询!Y:Y,收货记录查询!A:A,"东莞省仓",收货记录查询!B:B,"手机",收货记录查询!M:M,C76,收货记录查询!C:C,$A$1)</f>
        <v/>
      </c>
      <c r="G76" s="130" t="n"/>
      <c r="H76" s="147">
        <f>SUMIFS(出库全流程!C:C,出库全流程!A:A,"东莞省仓",出库全流程!B:B,"手机",出库全流程!W:W,C76)</f>
        <v/>
      </c>
      <c r="I76" s="130" t="n"/>
      <c r="J76" s="154" t="n"/>
      <c r="L76" s="126" t="n"/>
    </row>
    <row r="77" ht="15.6" customHeight="1" s="88">
      <c r="A77" s="144" t="n"/>
      <c r="B77" s="135" t="n"/>
      <c r="C77" s="163" t="inlineStr">
        <is>
          <t>合计</t>
        </is>
      </c>
      <c r="D77" s="141">
        <f>SUM(D76)</f>
        <v/>
      </c>
      <c r="E77" s="141">
        <f>SUM(E76)</f>
        <v/>
      </c>
      <c r="F77" s="141">
        <f>SUM(F76)</f>
        <v/>
      </c>
      <c r="G77" s="130" t="n"/>
      <c r="H77" s="141">
        <f>SUM(H76)</f>
        <v/>
      </c>
      <c r="I77" s="130" t="n"/>
      <c r="J77" s="154" t="n"/>
      <c r="L77" s="126" t="n"/>
    </row>
    <row r="78" ht="15.6" customHeight="1" s="88">
      <c r="A78" s="144" t="n"/>
      <c r="B78" s="155" t="inlineStr">
        <is>
          <t>多形态</t>
        </is>
      </c>
      <c r="C78" s="130" t="n"/>
      <c r="D78" s="147">
        <f>SUMIFS(总库存!R:R,总库存!A:A,"东莞省仓",总库存!B:B,"多形态")</f>
        <v/>
      </c>
      <c r="E78" s="147">
        <f>SUMIFS(总库存!E:E,总库存!A:A,"东莞省仓",总库存!B:B,"多形态",总库存!E:E,1)</f>
        <v/>
      </c>
      <c r="F78" s="147">
        <f>SUMIFS(收货记录查询!Y:Y,收货记录查询!A:A,"东莞省仓",收货记录查询!B:B,"多形态",收货记录查询!C:C,$A$1)</f>
        <v/>
      </c>
      <c r="G78" s="130" t="n"/>
      <c r="H78" s="147">
        <f>SUMIFS(出库全流程!C:C,出库全流程!A:A,"东莞省仓",出库全流程!B:B,B78)</f>
        <v/>
      </c>
      <c r="I78" s="130" t="n"/>
      <c r="J78" s="154" t="n"/>
      <c r="L78" s="126" t="n"/>
    </row>
    <row r="79">
      <c r="A79" s="164" t="inlineStr">
        <is>
          <t>数据来源：</t>
        </is>
      </c>
      <c r="B79" s="128" t="n"/>
      <c r="C79" s="130" t="n"/>
      <c r="D79" s="164" t="inlineStr">
        <is>
          <t>LIS库存查询汇总</t>
        </is>
      </c>
      <c r="E79" s="130" t="n"/>
      <c r="F79" s="165" t="inlineStr">
        <is>
          <t>LIS收货记录查询</t>
        </is>
      </c>
      <c r="G79" s="139" t="n"/>
      <c r="H79" s="165" t="inlineStr">
        <is>
          <t>LIS出库全流程单据清单</t>
        </is>
      </c>
      <c r="I79" s="139" t="n"/>
      <c r="J79" s="154" t="n"/>
      <c r="L79" s="126" t="n"/>
    </row>
    <row r="80">
      <c r="A80" s="166" t="inlineStr">
        <is>
          <t>数据周期：</t>
        </is>
      </c>
      <c r="B80" s="128" t="n"/>
      <c r="C80" s="130" t="n"/>
      <c r="D80" s="167" t="inlineStr">
        <is>
          <t>实时库存数</t>
        </is>
      </c>
      <c r="E80" s="130" t="n"/>
      <c r="F80" s="168">
        <f>$A$1</f>
        <v/>
      </c>
      <c r="G80" s="169" t="inlineStr">
        <is>
          <t>00:00-24:00</t>
        </is>
      </c>
      <c r="H80" s="168">
        <f>$A$1</f>
        <v/>
      </c>
      <c r="I80" s="169" t="inlineStr">
        <is>
          <t>6:00-次日6:00</t>
        </is>
      </c>
      <c r="J80" s="170" t="n"/>
      <c r="L80" s="126" t="n"/>
    </row>
  </sheetData>
  <mergeCells count="187">
    <mergeCell ref="H53:I53"/>
    <mergeCell ref="H35:I35"/>
    <mergeCell ref="A48:A53"/>
    <mergeCell ref="F29:G29"/>
    <mergeCell ref="F16:G16"/>
    <mergeCell ref="A80:C80"/>
    <mergeCell ref="H10:I10"/>
    <mergeCell ref="F68:G68"/>
    <mergeCell ref="F25:G25"/>
    <mergeCell ref="A59:A64"/>
    <mergeCell ref="L23:P24"/>
    <mergeCell ref="L10:P11"/>
    <mergeCell ref="H9:I9"/>
    <mergeCell ref="H39:I39"/>
    <mergeCell ref="L16:P18"/>
    <mergeCell ref="F15:G15"/>
    <mergeCell ref="A7:A36"/>
    <mergeCell ref="A2:A3"/>
    <mergeCell ref="F70:G70"/>
    <mergeCell ref="H52:I52"/>
    <mergeCell ref="F79:G79"/>
    <mergeCell ref="H79:I79"/>
    <mergeCell ref="B59:B63"/>
    <mergeCell ref="A65:A70"/>
    <mergeCell ref="B78:C78"/>
    <mergeCell ref="F72:G72"/>
    <mergeCell ref="H45:I45"/>
    <mergeCell ref="H72:I72"/>
    <mergeCell ref="F23:G23"/>
    <mergeCell ref="H37:I37"/>
    <mergeCell ref="F13:G13"/>
    <mergeCell ref="H13:I13"/>
    <mergeCell ref="F71:G71"/>
    <mergeCell ref="B54:B55"/>
    <mergeCell ref="H65:I65"/>
    <mergeCell ref="F43:G43"/>
    <mergeCell ref="B64:C64"/>
    <mergeCell ref="B33:C33"/>
    <mergeCell ref="H62:I62"/>
    <mergeCell ref="H15:I15"/>
    <mergeCell ref="H71:I71"/>
    <mergeCell ref="B56:B57"/>
    <mergeCell ref="H23:I23"/>
    <mergeCell ref="B37:B46"/>
    <mergeCell ref="B35:C35"/>
    <mergeCell ref="E1:J1"/>
    <mergeCell ref="F10:G10"/>
    <mergeCell ref="F19:G19"/>
    <mergeCell ref="F34:G34"/>
    <mergeCell ref="F63:G63"/>
    <mergeCell ref="H63:I63"/>
    <mergeCell ref="B65:B69"/>
    <mergeCell ref="H41:I41"/>
    <mergeCell ref="F6:G6"/>
    <mergeCell ref="A54:A55"/>
    <mergeCell ref="H50:I50"/>
    <mergeCell ref="F74:G74"/>
    <mergeCell ref="H74:I74"/>
    <mergeCell ref="H68:I68"/>
    <mergeCell ref="H25:I25"/>
    <mergeCell ref="H34:I34"/>
    <mergeCell ref="F30:G30"/>
    <mergeCell ref="D2:E2"/>
    <mergeCell ref="A56:A57"/>
    <mergeCell ref="F5:G5"/>
    <mergeCell ref="F20:G20"/>
    <mergeCell ref="F18:G18"/>
    <mergeCell ref="F33:G33"/>
    <mergeCell ref="F45:G45"/>
    <mergeCell ref="H49:I49"/>
    <mergeCell ref="F76:G76"/>
    <mergeCell ref="F42:G42"/>
    <mergeCell ref="H36:I36"/>
    <mergeCell ref="F17:G17"/>
    <mergeCell ref="B53:C53"/>
    <mergeCell ref="F66:G66"/>
    <mergeCell ref="H17:I17"/>
    <mergeCell ref="F75:G75"/>
    <mergeCell ref="H11:I11"/>
    <mergeCell ref="H69:I69"/>
    <mergeCell ref="F47:G47"/>
    <mergeCell ref="F62:G62"/>
    <mergeCell ref="F31:G31"/>
    <mergeCell ref="F46:G46"/>
    <mergeCell ref="H19:I19"/>
    <mergeCell ref="F28:G28"/>
    <mergeCell ref="H75:I75"/>
    <mergeCell ref="H28:I28"/>
    <mergeCell ref="F9:G9"/>
    <mergeCell ref="F61:G61"/>
    <mergeCell ref="F39:G39"/>
    <mergeCell ref="H12:I12"/>
    <mergeCell ref="F48:G48"/>
    <mergeCell ref="H48:I48"/>
    <mergeCell ref="H5:I5"/>
    <mergeCell ref="F44:G44"/>
    <mergeCell ref="H14:I14"/>
    <mergeCell ref="D79:E79"/>
    <mergeCell ref="F64:G64"/>
    <mergeCell ref="F4:G4"/>
    <mergeCell ref="F73:G73"/>
    <mergeCell ref="H38:I38"/>
    <mergeCell ref="H43:I43"/>
    <mergeCell ref="A71:A75"/>
    <mergeCell ref="H31:I31"/>
    <mergeCell ref="B71:B74"/>
    <mergeCell ref="H40:I40"/>
    <mergeCell ref="F7:G7"/>
    <mergeCell ref="F21:G21"/>
    <mergeCell ref="H21:I21"/>
    <mergeCell ref="H73:I73"/>
    <mergeCell ref="H60:I60"/>
    <mergeCell ref="A37:A47"/>
    <mergeCell ref="F36:G36"/>
    <mergeCell ref="F50:G50"/>
    <mergeCell ref="F8:G8"/>
    <mergeCell ref="A1:D1"/>
    <mergeCell ref="H16:I16"/>
    <mergeCell ref="B34:C34"/>
    <mergeCell ref="F22:G22"/>
    <mergeCell ref="H22:I22"/>
    <mergeCell ref="H66:I66"/>
    <mergeCell ref="F77:G77"/>
    <mergeCell ref="H77:I77"/>
    <mergeCell ref="A79:C79"/>
    <mergeCell ref="H42:I42"/>
    <mergeCell ref="F2:G3"/>
    <mergeCell ref="H2:I3"/>
    <mergeCell ref="F49:G49"/>
    <mergeCell ref="F14:G14"/>
    <mergeCell ref="B7:B32"/>
    <mergeCell ref="A4:B6"/>
    <mergeCell ref="H30:I30"/>
    <mergeCell ref="B75:C75"/>
    <mergeCell ref="F11:G11"/>
    <mergeCell ref="B47:C47"/>
    <mergeCell ref="H67:I67"/>
    <mergeCell ref="H20:I20"/>
    <mergeCell ref="F69:G69"/>
    <mergeCell ref="F78:G78"/>
    <mergeCell ref="H29:I29"/>
    <mergeCell ref="H78:I78"/>
    <mergeCell ref="F65:G65"/>
    <mergeCell ref="A76:A78"/>
    <mergeCell ref="H4:I4"/>
    <mergeCell ref="H44:I44"/>
    <mergeCell ref="F40:G40"/>
    <mergeCell ref="D80:E80"/>
    <mergeCell ref="F59:G59"/>
    <mergeCell ref="B70:C70"/>
    <mergeCell ref="F12:G12"/>
    <mergeCell ref="F24:G24"/>
    <mergeCell ref="H6:I6"/>
    <mergeCell ref="H59:I59"/>
    <mergeCell ref="H46:I46"/>
    <mergeCell ref="H64:I64"/>
    <mergeCell ref="F51:G51"/>
    <mergeCell ref="H51:I51"/>
    <mergeCell ref="F32:G32"/>
    <mergeCell ref="H61:I61"/>
    <mergeCell ref="F26:G26"/>
    <mergeCell ref="F41:G41"/>
    <mergeCell ref="H70:I70"/>
    <mergeCell ref="F35:G35"/>
    <mergeCell ref="F38:G38"/>
    <mergeCell ref="H32:I32"/>
    <mergeCell ref="H7:I7"/>
    <mergeCell ref="H47:I47"/>
    <mergeCell ref="F27:G27"/>
    <mergeCell ref="J2:J3"/>
    <mergeCell ref="H27:I27"/>
    <mergeCell ref="F52:G52"/>
    <mergeCell ref="F67:G67"/>
    <mergeCell ref="B76:B77"/>
    <mergeCell ref="J4:J11"/>
    <mergeCell ref="F37:G37"/>
    <mergeCell ref="B48:B52"/>
    <mergeCell ref="B2:C3"/>
    <mergeCell ref="H24:I24"/>
    <mergeCell ref="H18:I18"/>
    <mergeCell ref="H33:I33"/>
    <mergeCell ref="F60:G60"/>
    <mergeCell ref="H76:I76"/>
    <mergeCell ref="B36:C36"/>
    <mergeCell ref="H8:I8"/>
    <mergeCell ref="F53:G53"/>
    <mergeCell ref="H26:I26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topLeftCell="A84" workbookViewId="0">
      <selection activeCell="A1" sqref="A1:I122"/>
    </sheetView>
  </sheetViews>
  <sheetFormatPr baseColWidth="8" defaultColWidth="8.888888888888889" defaultRowHeight="13.2"/>
  <cols>
    <col width="8.33333333333333" customWidth="1" style="88" min="1" max="1"/>
    <col width="7.33333333333333" customWidth="1" style="88" min="2" max="2"/>
    <col width="13.4444444444444" customWidth="1" style="88" min="3" max="3"/>
    <col width="9.33333333333333" customWidth="1" style="88" min="4" max="4"/>
    <col width="7.11111111111111" customWidth="1" style="88" min="5" max="5"/>
    <col width="11.1111111111111" customWidth="1" style="88" min="6" max="6"/>
    <col width="11.2222222222222" customWidth="1" style="88" min="7" max="7"/>
    <col width="12.1388888888889" customWidth="1" style="88" min="8" max="8"/>
    <col width="15.1388888888889" customWidth="1" style="88" min="9" max="9"/>
    <col width="21.8888888888889" customWidth="1" style="88" min="12" max="12"/>
    <col width="27.6666666666667" customWidth="1" style="88" min="13" max="13"/>
  </cols>
  <sheetData>
    <row r="1" ht="20.4" customHeight="1" s="88">
      <c r="A1" s="127">
        <f>TODAY()-1</f>
        <v/>
      </c>
      <c r="B1" s="128" t="n"/>
      <c r="C1" s="128" t="n"/>
      <c r="D1" s="128" t="n"/>
      <c r="E1" s="171" t="inlineStr">
        <is>
          <t>广东省仓（含零售B2C）多形态库存报表</t>
        </is>
      </c>
      <c r="F1" s="128" t="n"/>
      <c r="G1" s="128" t="n"/>
      <c r="H1" s="128" t="n"/>
      <c r="I1" s="128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1" t="inlineStr">
        <is>
          <t>总库存</t>
        </is>
      </c>
      <c r="E2" s="133" t="n"/>
      <c r="F2" s="131" t="inlineStr">
        <is>
          <t>今日入库</t>
        </is>
      </c>
      <c r="G2" s="132" t="n"/>
      <c r="H2" s="134" t="inlineStr">
        <is>
          <t>今日出库</t>
        </is>
      </c>
      <c r="I2" s="132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</row>
    <row r="4" ht="15.6" customHeight="1" s="88">
      <c r="A4" s="172" t="inlineStr">
        <is>
          <t xml:space="preserve">增城省仓
（含零售B2C）
</t>
        </is>
      </c>
      <c r="B4" s="159" t="inlineStr">
        <is>
          <t>多形态</t>
        </is>
      </c>
      <c r="C4" s="173" t="inlineStr">
        <is>
          <t>省仓合计</t>
        </is>
      </c>
      <c r="D4" s="141">
        <f>SUMIFS(总库存!R:R,总库存!A:A,"增城省仓",总库存!B:B,"多形态")</f>
        <v/>
      </c>
      <c r="E4" s="141">
        <f>SUMIFS(总库存!E:E,总库存!A:A,"增城省仓",总库存!B:B,"多形态",总库存!E:E,1)</f>
        <v/>
      </c>
      <c r="F4" s="141">
        <f>SUMIFS(收货记录查询!Y:Y,收货记录查询!A:A,"增城省仓",收货记录查询!B:B,"多形态",收货记录查询!C:C,A1)</f>
        <v/>
      </c>
      <c r="G4" s="130" t="n"/>
      <c r="H4" s="141">
        <f>SUMIFS(出库全流程!C:C,出库全流程!A:A,"增城省仓",出库全流程!B:B,"多形态")+SUMIFS(出库全流程!C:C,出库全流程!A:A,"零售电商仓",出库全流程!B:B,"多形态")</f>
        <v/>
      </c>
      <c r="I4" s="130" t="n"/>
    </row>
    <row r="5" ht="15.6" customHeight="1" s="88">
      <c r="A5" s="144" t="n"/>
      <c r="B5" s="144" t="n"/>
      <c r="C5" s="174" t="inlineStr">
        <is>
          <t>中兴</t>
        </is>
      </c>
      <c r="D5" s="147">
        <f>SUMIFS(总库存!R:R,总库存!A:A,"增城省仓",总库存!B:B,"多形态",总库存!U:U,C5)</f>
        <v/>
      </c>
      <c r="E5" s="147">
        <f>SUMIFS(总库存!E:E,总库存!A:A,"增城省仓",总库存!B:B,"多形态",总库存!U:U,C5,总库存!E:E,1)</f>
        <v/>
      </c>
      <c r="F5" s="147">
        <f>SUMIFS(收货记录查询!Y:Y,收货记录查询!A:A,"增城省仓",收货记录查询!B:B,"多形态",收货记录查询!M:M,C5,收货记录查询!C:C,$A$1)</f>
        <v/>
      </c>
      <c r="G5" s="130" t="n"/>
      <c r="H5" s="147">
        <f>SUMIFS(出库全流程!C:C,出库全流程!A:A,"增城省仓",出库全流程!B:B,"多形态",出库全流程!W:W,C5)+SUMIFS(出库全流程!C:C,出库全流程!A:A,"零售电商仓",出库全流程!B:B,"多形态",出库全流程!W:W,C5)</f>
        <v/>
      </c>
      <c r="I5" s="130" t="n"/>
    </row>
    <row r="6" ht="15.6" customHeight="1" s="88">
      <c r="A6" s="144" t="n"/>
      <c r="B6" s="144" t="n"/>
      <c r="C6" s="174" t="inlineStr">
        <is>
          <t>华为</t>
        </is>
      </c>
      <c r="D6" s="147">
        <f>SUMIFS(总库存!R:R,总库存!A:A,"增城省仓",总库存!B:B,"多形态",总库存!U:U,C6)</f>
        <v/>
      </c>
      <c r="E6" s="147">
        <f>SUMIFS(总库存!E:E,总库存!A:A,"增城省仓",总库存!B:B,"多形态",总库存!U:U,C6,总库存!E:E,1)</f>
        <v/>
      </c>
      <c r="F6" s="147">
        <f>SUMIFS(收货记录查询!Y:Y,收货记录查询!A:A,"增城省仓",收货记录查询!B:B,"多形态",收货记录查询!M:M,C6,收货记录查询!C:C,$A$1)</f>
        <v/>
      </c>
      <c r="G6" s="130" t="n"/>
      <c r="H6" s="147">
        <f>SUMIFS(出库全流程!C:C,出库全流程!A:A,"增城省仓",出库全流程!B:B,"多形态",出库全流程!W:W,C6)+SUMIFS(出库全流程!C:C,出库全流程!A:A,"零售电商仓",出库全流程!B:B,"多形态",出库全流程!W:W,C6)</f>
        <v/>
      </c>
      <c r="I6" s="130" t="n"/>
    </row>
    <row r="7" ht="15.6" customHeight="1" s="88">
      <c r="A7" s="144" t="n"/>
      <c r="B7" s="144" t="n"/>
      <c r="C7" s="174" t="inlineStr">
        <is>
          <t>TCL</t>
        </is>
      </c>
      <c r="D7" s="147">
        <f>SUMIFS(总库存!R:R,总库存!A:A,"增城省仓",总库存!B:B,"多形态",总库存!U:U,C7)</f>
        <v/>
      </c>
      <c r="E7" s="147">
        <f>SUMIFS(总库存!E:E,总库存!A:A,"增城省仓",总库存!B:B,"多形态",总库存!U:U,C7,总库存!E:E,1)</f>
        <v/>
      </c>
      <c r="F7" s="147">
        <f>SUMIFS(收货记录查询!Y:Y,收货记录查询!A:A,"增城省仓",收货记录查询!B:B,"多形态",收货记录查询!M:M,C7,收货记录查询!C:C,$A$1)</f>
        <v/>
      </c>
      <c r="G7" s="130" t="n"/>
      <c r="H7" s="147">
        <f>SUMIFS(出库全流程!C:C,出库全流程!A:A,"增城省仓",出库全流程!B:B,"多形态",出库全流程!W:W,C7)+SUMIFS(出库全流程!C:C,出库全流程!A:A,"零售电商仓",出库全流程!B:B,"多形态",出库全流程!W:W,C7)</f>
        <v/>
      </c>
      <c r="I7" s="130" t="n"/>
    </row>
    <row r="8" ht="15.6" customHeight="1" s="88">
      <c r="A8" s="144" t="n"/>
      <c r="B8" s="144" t="n"/>
      <c r="C8" s="174" t="inlineStr">
        <is>
          <t>康佳</t>
        </is>
      </c>
      <c r="D8" s="147">
        <f>SUMIFS(总库存!R:R,总库存!A:A,"增城省仓",总库存!B:B,"多形态",总库存!U:U,C8)</f>
        <v/>
      </c>
      <c r="E8" s="147">
        <f>SUMIFS(总库存!E:E,总库存!A:A,"增城省仓",总库存!B:B,"多形态",总库存!U:U,C8,总库存!E:E,1)</f>
        <v/>
      </c>
      <c r="F8" s="147">
        <f>SUMIFS(收货记录查询!Y:Y,收货记录查询!A:A,"增城省仓",收货记录查询!B:B,"多形态",收货记录查询!M:M,C8,收货记录查询!C:C,$A$1)</f>
        <v/>
      </c>
      <c r="G8" s="130" t="n"/>
      <c r="H8" s="147">
        <f>SUMIFS(出库全流程!C:C,出库全流程!A:A,"增城省仓",出库全流程!B:B,"多形态",出库全流程!W:W,C8)+SUMIFS(出库全流程!C:C,出库全流程!A:A,"零售电商仓",出库全流程!B:B,"多形态",出库全流程!W:W,C8)</f>
        <v/>
      </c>
      <c r="I8" s="130" t="n"/>
    </row>
    <row r="9" ht="15.6" customHeight="1" s="88">
      <c r="A9" s="144" t="n"/>
      <c r="B9" s="144" t="n"/>
      <c r="C9" s="174" t="inlineStr">
        <is>
          <t>中移终端公司</t>
        </is>
      </c>
      <c r="D9" s="147">
        <f>SUMIFS(总库存!R:R,总库存!A:A,"增城省仓",总库存!B:B,"多形态",总库存!U:U,C9)</f>
        <v/>
      </c>
      <c r="E9" s="147">
        <f>SUMIFS(总库存!E:E,总库存!A:A,"增城省仓",总库存!B:B,"多形态",总库存!U:U,C9,总库存!E:E,1)</f>
        <v/>
      </c>
      <c r="F9" s="147">
        <f>SUMIFS(收货记录查询!Y:Y,收货记录查询!A:A,"增城省仓",收货记录查询!B:B,"多形态",收货记录查询!M:M,C9,收货记录查询!C:C,$A$1)</f>
        <v/>
      </c>
      <c r="G9" s="130" t="n"/>
      <c r="H9" s="147">
        <f>SUMIFS(出库全流程!C:C,出库全流程!A:A,"增城省仓",出库全流程!B:B,"多形态",出库全流程!W:W,C9)+SUMIFS(出库全流程!C:C,出库全流程!A:A,"零售电商仓",出库全流程!B:B,"多形态",出库全流程!W:W,C9)</f>
        <v/>
      </c>
      <c r="I9" s="130" t="n"/>
    </row>
    <row r="10" ht="15.6" customHeight="1" s="88">
      <c r="A10" s="144" t="n"/>
      <c r="B10" s="144" t="n"/>
      <c r="C10" s="174" t="inlineStr">
        <is>
          <t>创维</t>
        </is>
      </c>
      <c r="D10" s="147">
        <f>SUMIFS(总库存!R:R,总库存!A:A,"增城省仓",总库存!B:B,"多形态",总库存!U:U,C10)</f>
        <v/>
      </c>
      <c r="E10" s="147">
        <f>SUMIFS(总库存!E:E,总库存!A:A,"增城省仓",总库存!B:B,"多形态",总库存!U:U,C10,总库存!E:E,1)</f>
        <v/>
      </c>
      <c r="F10" s="147">
        <f>SUMIFS(收货记录查询!Y:Y,收货记录查询!A:A,"增城省仓",收货记录查询!B:B,"多形态",收货记录查询!M:M,C10,收货记录查询!C:C,$A$1)</f>
        <v/>
      </c>
      <c r="G10" s="130" t="n"/>
      <c r="H10" s="147">
        <f>SUMIFS(出库全流程!C:C,出库全流程!A:A,"增城省仓",出库全流程!B:B,"多形态",出库全流程!W:W,C10)+SUMIFS(出库全流程!C:C,出库全流程!A:A,"零售电商仓",出库全流程!B:B,"多形态",出库全流程!W:W,C10)</f>
        <v/>
      </c>
      <c r="I10" s="130" t="n"/>
      <c r="L10" s="148" t="inlineStr">
        <is>
          <t>省仓库存合计（表格）</t>
        </is>
      </c>
      <c r="M10" s="37">
        <f>SUM(D5:D120)</f>
        <v/>
      </c>
    </row>
    <row r="11" ht="15.6" customHeight="1" s="88">
      <c r="A11" s="144" t="n"/>
      <c r="B11" s="144" t="n"/>
      <c r="C11" s="174" t="inlineStr">
        <is>
          <t>中移物联网</t>
        </is>
      </c>
      <c r="D11" s="147">
        <f>SUMIFS(总库存!R:R,总库存!A:A,"增城省仓",总库存!B:B,"多形态",总库存!U:U,C11)</f>
        <v/>
      </c>
      <c r="E11" s="147">
        <f>SUMIFS(总库存!E:E,总库存!A:A,"增城省仓",总库存!B:B,"多形态",总库存!U:U,C11,总库存!E:E,1)</f>
        <v/>
      </c>
      <c r="F11" s="147">
        <f>SUMIFS(收货记录查询!Y:Y,收货记录查询!A:A,"增城省仓",收货记录查询!B:B,"多形态",收货记录查询!M:M,C11,收货记录查询!C:C,$A$1)</f>
        <v/>
      </c>
      <c r="G11" s="130" t="n"/>
      <c r="H11" s="147">
        <f>SUMIFS(出库全流程!C:C,出库全流程!A:A,"增城省仓",出库全流程!B:B,"多形态",出库全流程!W:W,C11)+SUMIFS(出库全流程!C:C,出库全流程!A:A,"零售电商仓",出库全流程!B:B,"多形态",出库全流程!W:W,C11)</f>
        <v/>
      </c>
      <c r="I11" s="130" t="n"/>
      <c r="L11" s="148" t="inlineStr">
        <is>
          <t>省仓库存合计（明细）</t>
        </is>
      </c>
      <c r="M11" s="37">
        <f>SUMIFS(总库存!R:R,总库存!A:A,"增城省仓",总库存!B:B,"多形态")</f>
        <v/>
      </c>
    </row>
    <row r="12" ht="15.6" customHeight="1" s="88">
      <c r="A12" s="144" t="n"/>
      <c r="B12" s="144" t="n"/>
      <c r="C12" s="174" t="inlineStr">
        <is>
          <t>福建思特</t>
        </is>
      </c>
      <c r="D12" s="147">
        <f>SUMIFS(总库存!R:R,总库存!A:A,"增城省仓",总库存!B:B,"多形态",总库存!U:U,C12)</f>
        <v/>
      </c>
      <c r="E12" s="147">
        <f>SUMIFS(总库存!E:E,总库存!A:A,"增城省仓",总库存!B:B,"多形态",总库存!U:U,C12,总库存!E:E,1)</f>
        <v/>
      </c>
      <c r="F12" s="147">
        <f>SUMIFS(收货记录查询!Y:Y,收货记录查询!A:A,"增城省仓",收货记录查询!B:B,"多形态",收货记录查询!M:M,C12,收货记录查询!C:C,$A$1)</f>
        <v/>
      </c>
      <c r="G12" s="130" t="n"/>
      <c r="H12" s="147">
        <f>SUMIFS(出库全流程!C:C,出库全流程!A:A,"增城省仓",出库全流程!B:B,"多形态",出库全流程!W:W,C12)+SUMIFS(出库全流程!C:C,出库全流程!A:A,"零售电商仓",出库全流程!B:B,"多形态",出库全流程!W:W,C12)</f>
        <v/>
      </c>
      <c r="I12" s="130" t="n"/>
      <c r="L12" s="149" t="inlineStr">
        <is>
          <t>差异数</t>
        </is>
      </c>
      <c r="M12" s="40">
        <f>M10-M11</f>
        <v/>
      </c>
    </row>
    <row r="13" ht="15.6" customHeight="1" s="88">
      <c r="A13" s="144" t="n"/>
      <c r="B13" s="144" t="n"/>
      <c r="C13" s="174" t="inlineStr">
        <is>
          <t>乐心</t>
        </is>
      </c>
      <c r="D13" s="147">
        <f>SUMIFS(总库存!R:R,总库存!A:A,"增城省仓",总库存!B:B,"多形态",总库存!U:U,C13)</f>
        <v/>
      </c>
      <c r="E13" s="147">
        <f>SUMIFS(总库存!E:E,总库存!A:A,"增城省仓",总库存!B:B,"多形态",总库存!U:U,C13,总库存!E:E,1)</f>
        <v/>
      </c>
      <c r="F13" s="147">
        <f>SUMIFS(收货记录查询!Y:Y,收货记录查询!A:A,"增城省仓",收货记录查询!B:B,"多形态",收货记录查询!M:M,C13,收货记录查询!C:C,$A$1)</f>
        <v/>
      </c>
      <c r="G13" s="130" t="n"/>
      <c r="H13" s="147">
        <f>SUMIFS(出库全流程!C:C,出库全流程!A:A,"增城省仓",出库全流程!B:B,"多形态",出库全流程!W:W,C13)+SUMIFS(出库全流程!C:C,出库全流程!A:A,"零售电商仓",出库全流程!B:B,"多形态",出库全流程!W:W,C13)</f>
        <v/>
      </c>
      <c r="I13" s="130" t="n"/>
      <c r="L13" s="150" t="inlineStr">
        <is>
          <t>注：如差异数不为0，则查看左侧表格是否需补充多形态品牌，缺失品牌到子表[2.0总库存]查找</t>
        </is>
      </c>
      <c r="M13" s="139" t="n"/>
    </row>
    <row r="14" hidden="1" ht="15.6" customHeight="1" s="88">
      <c r="A14" s="144" t="n"/>
      <c r="B14" s="144" t="n"/>
      <c r="C14" s="174" t="inlineStr">
        <is>
          <t>小米科技</t>
        </is>
      </c>
      <c r="D14" s="147">
        <f>SUMIFS(总库存!R:R,总库存!A:A,"增城省仓",总库存!B:B,"多形态",总库存!U:U,C14)</f>
        <v/>
      </c>
      <c r="E14" s="147">
        <f>SUMIFS(总库存!E:E,总库存!A:A,"增城省仓",总库存!B:B,"多形态",总库存!U:U,C14,总库存!E:E,1)</f>
        <v/>
      </c>
      <c r="F14" s="147">
        <f>SUMIFS(收货记录查询!Y:Y,收货记录查询!A:A,"增城省仓",收货记录查询!B:B,"多形态",收货记录查询!M:M,C14,收货记录查询!C:C,$A$1)</f>
        <v/>
      </c>
      <c r="G14" s="130" t="n"/>
      <c r="H14" s="147">
        <f>SUMIFS(出库全流程!C:C,出库全流程!A:A,"增城省仓",出库全流程!B:B,"多形态",出库全流程!W:W,C14)+SUMIFS(出库全流程!C:C,出库全流程!A:A,"零售电商仓",出库全流程!B:B,"多形态",出库全流程!W:W,C14)</f>
        <v/>
      </c>
      <c r="I14" s="130" t="n"/>
      <c r="L14" s="136" t="n"/>
      <c r="M14" s="133" t="n"/>
    </row>
    <row r="15" ht="15.6" customHeight="1" s="88">
      <c r="A15" s="144" t="n"/>
      <c r="B15" s="144" t="n"/>
      <c r="C15" s="174" t="inlineStr">
        <is>
          <t>小天才</t>
        </is>
      </c>
      <c r="D15" s="147">
        <f>SUMIFS(总库存!R:R,总库存!A:A,"增城省仓",总库存!B:B,"多形态",总库存!U:U,C15)</f>
        <v/>
      </c>
      <c r="E15" s="147">
        <f>SUMIFS(总库存!E:E,总库存!A:A,"增城省仓",总库存!B:B,"多形态",总库存!U:U,C15,总库存!E:E,1)</f>
        <v/>
      </c>
      <c r="F15" s="147">
        <f>SUMIFS(收货记录查询!Y:Y,收货记录查询!A:A,"增城省仓",收货记录查询!B:B,"多形态",收货记录查询!M:M,C15,收货记录查询!C:C,$A$1)</f>
        <v/>
      </c>
      <c r="G15" s="130" t="n"/>
      <c r="H15" s="147">
        <f>SUMIFS(出库全流程!C:C,出库全流程!A:A,"增城省仓",出库全流程!B:B,"多形态",出库全流程!W:W,C15)+SUMIFS(出库全流程!C:C,出库全流程!A:A,"零售电商仓",出库全流程!B:B,"多形态",出库全流程!W:W,C15)</f>
        <v/>
      </c>
      <c r="I15" s="130" t="n"/>
    </row>
    <row r="16" ht="15.6" customHeight="1" s="88">
      <c r="A16" s="144" t="n"/>
      <c r="B16" s="144" t="n"/>
      <c r="C16" s="174" t="inlineStr">
        <is>
          <t>数果</t>
        </is>
      </c>
      <c r="D16" s="147">
        <f>SUMIFS(总库存!R:R,总库存!A:A,"增城省仓",总库存!B:B,"多形态",总库存!U:U,C16)</f>
        <v/>
      </c>
      <c r="E16" s="147">
        <f>SUMIFS(总库存!E:E,总库存!A:A,"增城省仓",总库存!B:B,"多形态",总库存!U:U,C16,总库存!E:E,1)</f>
        <v/>
      </c>
      <c r="F16" s="147">
        <f>SUMIFS(收货记录查询!Y:Y,收货记录查询!A:A,"增城省仓",收货记录查询!B:B,"多形态",收货记录查询!M:M,C16,收货记录查询!C:C,$A$1)</f>
        <v/>
      </c>
      <c r="G16" s="130" t="n"/>
      <c r="H16" s="147">
        <f>SUMIFS(出库全流程!C:C,出库全流程!A:A,"增城省仓",出库全流程!B:B,"多形态",出库全流程!W:W,C16)+SUMIFS(出库全流程!C:C,出库全流程!A:A,"零售电商仓",出库全流程!B:B,"多形态",出库全流程!W:W,C16)</f>
        <v/>
      </c>
      <c r="I16" s="130" t="n"/>
      <c r="L16" s="148" t="inlineStr">
        <is>
          <t>省仓入库合计（表格）</t>
        </is>
      </c>
      <c r="M16" s="37">
        <f>SUM(F5:G120)</f>
        <v/>
      </c>
    </row>
    <row r="17" ht="15.6" customHeight="1" s="88">
      <c r="A17" s="144" t="n"/>
      <c r="B17" s="144" t="n"/>
      <c r="C17" s="174" t="inlineStr">
        <is>
          <t>普联</t>
        </is>
      </c>
      <c r="D17" s="147">
        <f>SUMIFS(总库存!R:R,总库存!A:A,"增城省仓",总库存!B:B,"多形态",总库存!U:U,C17)</f>
        <v/>
      </c>
      <c r="E17" s="147">
        <f>SUMIFS(总库存!E:E,总库存!A:A,"增城省仓",总库存!B:B,"多形态",总库存!U:U,C17,总库存!E:E,1)</f>
        <v/>
      </c>
      <c r="F17" s="147">
        <f>SUMIFS(收货记录查询!Y:Y,收货记录查询!A:A,"增城省仓",收货记录查询!B:B,"多形态",收货记录查询!M:M,C17,收货记录查询!C:C,$A$1)</f>
        <v/>
      </c>
      <c r="G17" s="130" t="n"/>
      <c r="H17" s="147">
        <f>SUMIFS(出库全流程!C:C,出库全流程!A:A,"增城省仓",出库全流程!B:B,"多形态",出库全流程!W:W,C17)+SUMIFS(出库全流程!C:C,出库全流程!A:A,"零售电商仓",出库全流程!B:B,"多形态",出库全流程!W:W,C17)</f>
        <v/>
      </c>
      <c r="I17" s="130" t="n"/>
      <c r="L17" s="148" t="inlineStr">
        <is>
          <t>省仓入库合计（明细）</t>
        </is>
      </c>
      <c r="M17" s="37">
        <f>F4</f>
        <v/>
      </c>
    </row>
    <row r="18" ht="15.6" customHeight="1" s="88">
      <c r="A18" s="144" t="n"/>
      <c r="B18" s="144" t="n"/>
      <c r="C18" s="174" t="inlineStr">
        <is>
          <t>MAXHUB</t>
        </is>
      </c>
      <c r="D18" s="147">
        <f>SUMIFS(总库存!R:R,总库存!A:A,"增城省仓",总库存!B:B,"多形态",总库存!U:U,C18)</f>
        <v/>
      </c>
      <c r="E18" s="147">
        <f>SUMIFS(总库存!E:E,总库存!A:A,"增城省仓",总库存!B:B,"多形态",总库存!U:U,C18,总库存!E:E,1)</f>
        <v/>
      </c>
      <c r="F18" s="147">
        <f>SUMIFS(收货记录查询!Y:Y,收货记录查询!A:A,"增城省仓",收货记录查询!B:B,"多形态",收货记录查询!M:M,C18,收货记录查询!C:C,$A$1)</f>
        <v/>
      </c>
      <c r="G18" s="130" t="n"/>
      <c r="H18" s="147">
        <f>SUMIFS(出库全流程!C:C,出库全流程!A:A,"增城省仓",出库全流程!B:B,"多形态",出库全流程!W:W,C18)+SUMIFS(出库全流程!C:C,出库全流程!A:A,"零售电商仓",出库全流程!B:B,"多形态",出库全流程!W:W,C18)</f>
        <v/>
      </c>
      <c r="I18" s="130" t="n"/>
      <c r="L18" s="149" t="inlineStr">
        <is>
          <t>差异数</t>
        </is>
      </c>
      <c r="M18" s="40">
        <f>M16-M17</f>
        <v/>
      </c>
    </row>
    <row r="19" ht="15.6" customHeight="1" s="88">
      <c r="A19" s="144" t="n"/>
      <c r="B19" s="144" t="n"/>
      <c r="C19" s="174" t="inlineStr">
        <is>
          <t>天波</t>
        </is>
      </c>
      <c r="D19" s="147">
        <f>SUMIFS(总库存!R:R,总库存!A:A,"增城省仓",总库存!B:B,"多形态",总库存!U:U,C19)</f>
        <v/>
      </c>
      <c r="E19" s="147">
        <f>SUMIFS(总库存!E:E,总库存!A:A,"增城省仓",总库存!B:B,"多形态",总库存!U:U,C19,总库存!E:E,1)</f>
        <v/>
      </c>
      <c r="F19" s="147">
        <f>SUMIFS(收货记录查询!Y:Y,收货记录查询!A:A,"增城省仓",收货记录查询!B:B,"多形态",收货记录查询!M:M,C19,收货记录查询!C:C,$A$1)</f>
        <v/>
      </c>
      <c r="G19" s="130" t="n"/>
      <c r="H19" s="147">
        <f>SUMIFS(出库全流程!C:C,出库全流程!A:A,"增城省仓",出库全流程!B:B,"多形态",出库全流程!W:W,C19)+SUMIFS(出库全流程!C:C,出库全流程!A:A,"零售电商仓",出库全流程!B:B,"多形态",出库全流程!W:W,C19)</f>
        <v/>
      </c>
      <c r="I19" s="130" t="n"/>
      <c r="L19" s="150" t="inlineStr">
        <is>
          <t>注：如差异数不为0，则查看左侧表格是否需补充多形态品牌，缺失品牌到子表[2.0收货记录查询]查找</t>
        </is>
      </c>
      <c r="M19" s="139" t="n"/>
    </row>
    <row r="20" ht="15.6" customHeight="1" s="88">
      <c r="A20" s="144" t="n"/>
      <c r="B20" s="144" t="n"/>
      <c r="C20" s="174" t="inlineStr">
        <is>
          <t>欧珀</t>
        </is>
      </c>
      <c r="D20" s="147">
        <f>SUMIFS(总库存!R:R,总库存!A:A,"增城省仓",总库存!B:B,"多形态",总库存!U:U,C20)</f>
        <v/>
      </c>
      <c r="E20" s="147">
        <f>SUMIFS(总库存!E:E,总库存!A:A,"增城省仓",总库存!B:B,"多形态",总库存!U:U,C20,总库存!E:E,1)</f>
        <v/>
      </c>
      <c r="F20" s="147">
        <f>SUMIFS(收货记录查询!Y:Y,收货记录查询!A:A,"增城省仓",收货记录查询!B:B,"多形态",收货记录查询!M:M,C20,收货记录查询!C:C,$A$1)</f>
        <v/>
      </c>
      <c r="G20" s="130" t="n"/>
      <c r="H20" s="147">
        <f>SUMIFS(出库全流程!C:C,出库全流程!A:A,"增城省仓",出库全流程!B:B,"多形态",出库全流程!W:W,C20)+SUMIFS(出库全流程!C:C,出库全流程!A:A,"零售电商仓",出库全流程!B:B,"多形态",出库全流程!W:W,C20)</f>
        <v/>
      </c>
      <c r="I20" s="130" t="n"/>
      <c r="L20" s="143" t="n"/>
      <c r="M20" s="132" t="n"/>
    </row>
    <row r="21" hidden="1" ht="15.6" customHeight="1" s="88">
      <c r="A21" s="144" t="n"/>
      <c r="B21" s="144" t="n"/>
      <c r="C21" s="174" t="inlineStr">
        <is>
          <t>杭州乐橙</t>
        </is>
      </c>
      <c r="D21" s="147">
        <f>SUMIFS(总库存!R:R,总库存!A:A,"增城省仓",总库存!B:B,"多形态",总库存!U:U,C21)</f>
        <v/>
      </c>
      <c r="E21" s="147">
        <f>SUMIFS(总库存!E:E,总库存!A:A,"增城省仓",总库存!B:B,"多形态",总库存!U:U,C21,总库存!E:E,1)</f>
        <v/>
      </c>
      <c r="F21" s="147">
        <f>SUMIFS(收货记录查询!Y:Y,收货记录查询!A:A,"增城省仓",收货记录查询!B:B,"多形态",收货记录查询!M:M,C21,收货记录查询!C:C,$A$1)</f>
        <v/>
      </c>
      <c r="G21" s="130" t="n"/>
      <c r="H21" s="147">
        <f>SUMIFS(出库全流程!C:C,出库全流程!A:A,"增城省仓",出库全流程!B:B,"多形态",出库全流程!W:W,C21)+SUMIFS(出库全流程!C:C,出库全流程!A:A,"零售电商仓",出库全流程!B:B,"多形态",出库全流程!W:W,C21)</f>
        <v/>
      </c>
      <c r="I21" s="130" t="n"/>
      <c r="L21" s="136" t="n"/>
      <c r="M21" s="133" t="n"/>
    </row>
    <row r="22" ht="15.6" customHeight="1" s="88">
      <c r="A22" s="144" t="n"/>
      <c r="B22" s="144" t="n"/>
      <c r="C22" s="174" t="inlineStr">
        <is>
          <t>荣耀</t>
        </is>
      </c>
      <c r="D22" s="147">
        <f>SUMIFS(总库存!R:R,总库存!A:A,"增城省仓",总库存!B:B,"多形态",总库存!U:U,C22)</f>
        <v/>
      </c>
      <c r="E22" s="147">
        <f>SUMIFS(总库存!E:E,总库存!A:A,"增城省仓",总库存!B:B,"多形态",总库存!U:U,C22,总库存!E:E,1)</f>
        <v/>
      </c>
      <c r="F22" s="147">
        <f>SUMIFS(收货记录查询!Y:Y,收货记录查询!A:A,"增城省仓",收货记录查询!B:B,"多形态",收货记录查询!M:M,C22,收货记录查询!C:C,$A$1)</f>
        <v/>
      </c>
      <c r="G22" s="130" t="n"/>
      <c r="H22" s="147">
        <f>SUMIFS(出库全流程!C:C,出库全流程!A:A,"增城省仓",出库全流程!B:B,"多形态",出库全流程!W:W,C22)+SUMIFS(出库全流程!C:C,出库全流程!A:A,"零售电商仓",出库全流程!B:B,"多形态",出库全流程!W:W,C22)</f>
        <v/>
      </c>
      <c r="I22" s="130" t="n"/>
    </row>
    <row r="23" ht="15.6" customHeight="1" s="88">
      <c r="A23" s="144" t="n"/>
      <c r="B23" s="144" t="n"/>
      <c r="C23" s="174" t="inlineStr">
        <is>
          <t>小度</t>
        </is>
      </c>
      <c r="D23" s="147">
        <f>SUMIFS(总库存!R:R,总库存!A:A,"增城省仓",总库存!B:B,"多形态",总库存!U:U,C23)</f>
        <v/>
      </c>
      <c r="E23" s="147">
        <f>SUMIFS(总库存!E:E,总库存!A:A,"增城省仓",总库存!B:B,"多形态",总库存!U:U,C23,总库存!E:E,1)</f>
        <v/>
      </c>
      <c r="F23" s="147">
        <f>SUMIFS(收货记录查询!Y:Y,收货记录查询!A:A,"增城省仓",收货记录查询!B:B,"多形态",收货记录查询!M:M,C23,收货记录查询!C:C,$A$1)</f>
        <v/>
      </c>
      <c r="G23" s="130" t="n"/>
      <c r="H23" s="147">
        <f>SUMIFS(出库全流程!C:C,出库全流程!A:A,"增城省仓",出库全流程!B:B,"多形态",出库全流程!W:W,C23)+SUMIFS(出库全流程!C:C,出库全流程!A:A,"零售电商仓",出库全流程!B:B,"多形态",出库全流程!W:W,C23)</f>
        <v/>
      </c>
      <c r="I23" s="130" t="n"/>
      <c r="L23" s="148" t="inlineStr">
        <is>
          <t>省仓出库合计（表格）</t>
        </is>
      </c>
      <c r="M23" s="37">
        <f>SUM(H5:I120)</f>
        <v/>
      </c>
    </row>
    <row r="24" ht="15.6" customHeight="1" s="88">
      <c r="A24" s="144" t="n"/>
      <c r="B24" s="144" t="n"/>
      <c r="C24" s="174" t="inlineStr">
        <is>
          <t>涂鸦信息</t>
        </is>
      </c>
      <c r="D24" s="147">
        <f>SUMIFS(总库存!R:R,总库存!A:A,"增城省仓",总库存!B:B,"多形态",总库存!U:U,C24)</f>
        <v/>
      </c>
      <c r="E24" s="147">
        <f>SUMIFS(总库存!E:E,总库存!A:A,"增城省仓",总库存!B:B,"多形态",总库存!U:U,C24,总库存!E:E,1)</f>
        <v/>
      </c>
      <c r="F24" s="147">
        <f>SUMIFS(收货记录查询!Y:Y,收货记录查询!A:A,"增城省仓",收货记录查询!B:B,"多形态",收货记录查询!M:M,C24,收货记录查询!C:C,$A$1)</f>
        <v/>
      </c>
      <c r="G24" s="130" t="n"/>
      <c r="H24" s="147">
        <f>SUMIFS(出库全流程!C:C,出库全流程!A:A,"增城省仓",出库全流程!B:B,"多形态",出库全流程!W:W,C24)+SUMIFS(出库全流程!C:C,出库全流程!A:A,"零售电商仓",出库全流程!B:B,"多形态",出库全流程!W:W,C24)</f>
        <v/>
      </c>
      <c r="I24" s="130" t="n"/>
      <c r="L24" s="148" t="inlineStr">
        <is>
          <t>省仓出库合计（明细）</t>
        </is>
      </c>
      <c r="M24" s="37">
        <f>H4</f>
        <v/>
      </c>
    </row>
    <row r="25" ht="15.6" customHeight="1" s="88">
      <c r="A25" s="144" t="n"/>
      <c r="B25" s="144" t="n"/>
      <c r="C25" s="174" t="inlineStr">
        <is>
          <t>萤石</t>
        </is>
      </c>
      <c r="D25" s="147">
        <f>SUMIFS(总库存!R:R,总库存!A:A,"增城省仓",总库存!B:B,"多形态",总库存!U:U,C25)</f>
        <v/>
      </c>
      <c r="E25" s="147">
        <f>SUMIFS(总库存!E:E,总库存!A:A,"增城省仓",总库存!B:B,"多形态",总库存!U:U,C25,总库存!E:E,1)</f>
        <v/>
      </c>
      <c r="F25" s="147">
        <f>SUMIFS(收货记录查询!Y:Y,收货记录查询!A:A,"增城省仓",收货记录查询!B:B,"多形态",收货记录查询!M:M,C25,收货记录查询!C:C,$A$1)</f>
        <v/>
      </c>
      <c r="G25" s="130" t="n"/>
      <c r="H25" s="147">
        <f>SUMIFS(出库全流程!C:C,出库全流程!A:A,"增城省仓",出库全流程!B:B,"多形态",出库全流程!W:W,C25)+SUMIFS(出库全流程!C:C,出库全流程!A:A,"零售电商仓",出库全流程!B:B,"多形态",出库全流程!W:W,C25)</f>
        <v/>
      </c>
      <c r="I25" s="130" t="n"/>
      <c r="L25" s="149" t="inlineStr">
        <is>
          <t>差异数</t>
        </is>
      </c>
      <c r="M25" s="40">
        <f>M23-M24</f>
        <v/>
      </c>
    </row>
    <row r="26" ht="15.6" customHeight="1" s="88">
      <c r="A26" s="144" t="n"/>
      <c r="B26" s="144" t="n"/>
      <c r="C26" s="174" t="inlineStr">
        <is>
          <t>万佳安</t>
        </is>
      </c>
      <c r="D26" s="147">
        <f>SUMIFS(总库存!R:R,总库存!A:A,"增城省仓",总库存!B:B,"多形态",总库存!U:U,C26)</f>
        <v/>
      </c>
      <c r="E26" s="147">
        <f>SUMIFS(总库存!E:E,总库存!A:A,"增城省仓",总库存!B:B,"多形态",总库存!U:U,C26,总库存!E:E,1)</f>
        <v/>
      </c>
      <c r="F26" s="147">
        <f>SUMIFS(收货记录查询!Y:Y,收货记录查询!A:A,"增城省仓",收货记录查询!B:B,"多形态",收货记录查询!M:M,C26,收货记录查询!C:C,$A$1)</f>
        <v/>
      </c>
      <c r="G26" s="130" t="n"/>
      <c r="H26" s="147">
        <f>SUMIFS(出库全流程!C:C,出库全流程!A:A,"增城省仓",出库全流程!B:B,"多形态",出库全流程!W:W,C26)+SUMIFS(出库全流程!C:C,出库全流程!A:A,"零售电商仓",出库全流程!B:B,"多形态",出库全流程!W:W,C26)</f>
        <v/>
      </c>
      <c r="I26" s="130" t="n"/>
      <c r="L26" s="150" t="inlineStr">
        <is>
          <t>注：如差异数不为0，则查看左侧表格是否需补充多形态品牌，缺失品牌到子表[2.0出库全流程]查找</t>
        </is>
      </c>
      <c r="M26" s="139" t="n"/>
    </row>
    <row r="27" ht="15.6" customHeight="1" s="88">
      <c r="A27" s="144" t="n"/>
      <c r="B27" s="144" t="n"/>
      <c r="C27" s="174" t="inlineStr">
        <is>
          <t>TP-LINK</t>
        </is>
      </c>
      <c r="D27" s="147">
        <f>SUMIFS(总库存!R:R,总库存!A:A,"增城省仓",总库存!B:B,"多形态",总库存!U:U,C27)</f>
        <v/>
      </c>
      <c r="E27" s="147">
        <f>SUMIFS(总库存!E:E,总库存!A:A,"增城省仓",总库存!B:B,"多形态",总库存!U:U,C27,总库存!E:E,1)</f>
        <v/>
      </c>
      <c r="F27" s="147">
        <f>SUMIFS(收货记录查询!Y:Y,收货记录查询!A:A,"增城省仓",收货记录查询!B:B,"多形态",收货记录查询!M:M,C27,收货记录查询!C:C,$A$1)</f>
        <v/>
      </c>
      <c r="G27" s="130" t="n"/>
      <c r="H27" s="147">
        <f>SUMIFS(出库全流程!C:C,出库全流程!A:A,"增城省仓",出库全流程!B:B,"多形态",出库全流程!W:W,C27)+SUMIFS(出库全流程!C:C,出库全流程!A:A,"零售电商仓",出库全流程!B:B,"多形态",出库全流程!W:W,C27)</f>
        <v/>
      </c>
      <c r="I27" s="130" t="n"/>
      <c r="L27" s="143" t="n"/>
      <c r="M27" s="132" t="n"/>
    </row>
    <row r="28" ht="15.6" customHeight="1" s="88">
      <c r="A28" s="144" t="n"/>
      <c r="B28" s="144" t="n"/>
      <c r="C28" s="174" t="inlineStr">
        <is>
          <t>视洞科技</t>
        </is>
      </c>
      <c r="D28" s="147">
        <f>SUMIFS(总库存!R:R,总库存!A:A,"增城省仓",总库存!B:B,"多形态",总库存!U:U,C28)</f>
        <v/>
      </c>
      <c r="E28" s="147">
        <f>SUMIFS(总库存!E:E,总库存!A:A,"增城省仓",总库存!B:B,"多形态",总库存!U:U,C28,总库存!E:E,1)</f>
        <v/>
      </c>
      <c r="F28" s="147">
        <f>SUMIFS(收货记录查询!Y:Y,收货记录查询!A:A,"增城省仓",收货记录查询!B:B,"多形态",收货记录查询!M:M,C28,收货记录查询!C:C,$A$1)</f>
        <v/>
      </c>
      <c r="G28" s="130" t="n"/>
      <c r="H28" s="147">
        <f>SUMIFS(出库全流程!C:C,出库全流程!A:A,"增城省仓",出库全流程!B:B,"多形态",出库全流程!W:W,C28)+SUMIFS(出库全流程!C:C,出库全流程!A:A,"零售电商仓",出库全流程!B:B,"多形态",出库全流程!W:W,C28)</f>
        <v/>
      </c>
      <c r="I28" s="130" t="n"/>
      <c r="L28" s="136" t="n"/>
      <c r="M28" s="133" t="n"/>
    </row>
    <row r="29" ht="15.6" customHeight="1" s="88">
      <c r="A29" s="144" t="n"/>
      <c r="B29" s="144" t="n"/>
      <c r="C29" s="174" t="inlineStr">
        <is>
          <t>泉盛电子</t>
        </is>
      </c>
      <c r="D29" s="147">
        <f>SUMIFS(总库存!R:R,总库存!A:A,"增城省仓",总库存!B:B,"多形态",总库存!U:U,C29)</f>
        <v/>
      </c>
      <c r="E29" s="147">
        <f>SUMIFS(总库存!E:E,总库存!A:A,"增城省仓",总库存!B:B,"多形态",总库存!U:U,C29,总库存!E:E,1)</f>
        <v/>
      </c>
      <c r="F29" s="147">
        <f>SUMIFS(收货记录查询!Y:Y,收货记录查询!A:A,"增城省仓",收货记录查询!B:B,"多形态",收货记录查询!M:M,C29,收货记录查询!C:C,$A$1)</f>
        <v/>
      </c>
      <c r="G29" s="130" t="n"/>
      <c r="H29" s="147">
        <f>SUMIFS(出库全流程!C:C,出库全流程!A:A,"增城省仓",出库全流程!B:B,"多形态",出库全流程!W:W,C29)+SUMIFS(出库全流程!C:C,出库全流程!A:A,"零售电商仓",出库全流程!B:B,"多形态",出库全流程!W:W,C29)</f>
        <v/>
      </c>
      <c r="I29" s="130" t="n"/>
    </row>
    <row r="30" ht="15.6" customHeight="1" s="88">
      <c r="A30" s="144" t="n"/>
      <c r="B30" s="144" t="n"/>
      <c r="C30" s="174" t="inlineStr">
        <is>
          <t>岭雁科技</t>
        </is>
      </c>
      <c r="D30" s="147">
        <f>SUMIFS(总库存!R:R,总库存!A:A,"增城省仓",总库存!B:B,"多形态",总库存!U:U,C30)</f>
        <v/>
      </c>
      <c r="E30" s="147">
        <f>SUMIFS(总库存!E:E,总库存!A:A,"增城省仓",总库存!B:B,"多形态",总库存!U:U,C30,总库存!E:E,1)</f>
        <v/>
      </c>
      <c r="F30" s="147">
        <f>SUMIFS(收货记录查询!Y:Y,收货记录查询!A:A,"增城省仓",收货记录查询!B:B,"多形态",收货记录查询!M:M,C30,收货记录查询!C:C,$A$1)</f>
        <v/>
      </c>
      <c r="G30" s="130" t="n"/>
      <c r="H30" s="147">
        <f>SUMIFS(出库全流程!C:C,出库全流程!A:A,"增城省仓",出库全流程!B:B,"多形态",出库全流程!W:W,C30)+SUMIFS(出库全流程!C:C,出库全流程!A:A,"零售电商仓",出库全流程!B:B,"多形态",出库全流程!W:W,C30)</f>
        <v/>
      </c>
      <c r="I30" s="130" t="n"/>
    </row>
    <row r="31" ht="15.6" customHeight="1" s="88">
      <c r="A31" s="144" t="n"/>
      <c r="B31" s="144" t="n"/>
      <c r="C31" s="174" t="inlineStr">
        <is>
          <t>九安</t>
        </is>
      </c>
      <c r="D31" s="147">
        <f>SUMIFS(总库存!R:R,总库存!A:A,"增城省仓",总库存!B:B,"多形态",总库存!U:U,C31)</f>
        <v/>
      </c>
      <c r="E31" s="147">
        <f>SUMIFS(总库存!E:E,总库存!A:A,"增城省仓",总库存!B:B,"多形态",总库存!U:U,C31,总库存!E:E,1)</f>
        <v/>
      </c>
      <c r="F31" s="147">
        <f>SUMIFS(收货记录查询!Y:Y,收货记录查询!A:A,"增城省仓",收货记录查询!B:B,"多形态",收货记录查询!M:M,C31,收货记录查询!C:C,$A$1)</f>
        <v/>
      </c>
      <c r="G31" s="130" t="n"/>
      <c r="H31" s="147">
        <f>SUMIFS(出库全流程!C:C,出库全流程!A:A,"增城省仓",出库全流程!B:B,"多形态",出库全流程!W:W,C31)+SUMIFS(出库全流程!C:C,出库全流程!A:A,"零售电商仓",出库全流程!B:B,"多形态",出库全流程!W:W,C31)</f>
        <v/>
      </c>
      <c r="I31" s="130" t="n"/>
    </row>
    <row r="32" ht="15.6" customHeight="1" s="88">
      <c r="A32" s="144" t="n"/>
      <c r="B32" s="144" t="n"/>
      <c r="C32" s="174" t="inlineStr">
        <is>
          <t>华为技术</t>
        </is>
      </c>
      <c r="D32" s="147">
        <f>SUMIFS(总库存!R:R,总库存!A:A,"增城省仓",总库存!B:B,"多形态",总库存!U:U,C32)</f>
        <v/>
      </c>
      <c r="E32" s="147">
        <f>SUMIFS(总库存!E:E,总库存!A:A,"增城省仓",总库存!B:B,"多形态",总库存!U:U,C32,总库存!E:E,1)</f>
        <v/>
      </c>
      <c r="F32" s="147">
        <f>SUMIFS(收货记录查询!Y:Y,收货记录查询!A:A,"增城省仓",收货记录查询!B:B,"多形态",收货记录查询!M:M,C32,收货记录查询!C:C,$A$1)</f>
        <v/>
      </c>
      <c r="G32" s="130" t="n"/>
      <c r="H32" s="147">
        <f>SUMIFS(出库全流程!C:C,出库全流程!A:A,"增城省仓",出库全流程!B:B,"多形态",出库全流程!W:W,C32)+SUMIFS(出库全流程!C:C,出库全流程!A:A,"零售电商仓",出库全流程!B:B,"多形态",出库全流程!W:W,C32)</f>
        <v/>
      </c>
      <c r="I32" s="130" t="n"/>
    </row>
    <row r="33" ht="15.6" customHeight="1" s="88">
      <c r="A33" s="144" t="n"/>
      <c r="B33" s="144" t="n"/>
      <c r="C33" s="174" t="inlineStr">
        <is>
          <t>英飞拓</t>
        </is>
      </c>
      <c r="D33" s="147">
        <f>SUMIFS(总库存!R:R,总库存!A:A,"增城省仓",总库存!B:B,"多形态",总库存!U:U,C33)</f>
        <v/>
      </c>
      <c r="E33" s="147">
        <f>SUMIFS(总库存!E:E,总库存!A:A,"增城省仓",总库存!B:B,"多形态",总库存!U:U,C33,总库存!E:E,1)</f>
        <v/>
      </c>
      <c r="F33" s="147">
        <f>SUMIFS(收货记录查询!Y:Y,收货记录查询!A:A,"增城省仓",收货记录查询!B:B,"多形态",收货记录查询!M:M,C33,收货记录查询!C:C,$A$1)</f>
        <v/>
      </c>
      <c r="G33" s="130" t="n"/>
      <c r="H33" s="147">
        <f>SUMIFS(出库全流程!C:C,出库全流程!A:A,"增城省仓",出库全流程!B:B,"多形态",出库全流程!W:W,C33)+SUMIFS(出库全流程!C:C,出库全流程!A:A,"零售电商仓",出库全流程!B:B,"多形态",出库全流程!W:W,C33)</f>
        <v/>
      </c>
      <c r="I33" s="130" t="n"/>
    </row>
    <row r="34" ht="15.6" customHeight="1" s="88">
      <c r="A34" s="144" t="n"/>
      <c r="B34" s="144" t="n"/>
      <c r="C34" s="174" t="inlineStr">
        <is>
          <t>华橙网络</t>
        </is>
      </c>
      <c r="D34" s="147">
        <f>SUMIFS(总库存!R:R,总库存!A:A,"增城省仓",总库存!B:B,"多形态",总库存!U:U,C34)</f>
        <v/>
      </c>
      <c r="E34" s="147">
        <f>SUMIFS(总库存!E:E,总库存!A:A,"增城省仓",总库存!B:B,"多形态",总库存!U:U,C34,总库存!E:E,1)</f>
        <v/>
      </c>
      <c r="F34" s="147">
        <f>SUMIFS(收货记录查询!Y:Y,收货记录查询!A:A,"增城省仓",收货记录查询!B:B,"多形态",收货记录查询!M:M,C34,收货记录查询!C:C,$A$1)</f>
        <v/>
      </c>
      <c r="G34" s="130" t="n"/>
      <c r="H34" s="147">
        <f>SUMIFS(出库全流程!C:C,出库全流程!A:A,"增城省仓",出库全流程!B:B,"多形态",出库全流程!W:W,C34)+SUMIFS(出库全流程!C:C,出库全流程!A:A,"零售电商仓",出库全流程!B:B,"多形态",出库全流程!W:W,C34)</f>
        <v/>
      </c>
      <c r="I34" s="130" t="n"/>
    </row>
    <row r="35" hidden="1" ht="15.6" customHeight="1" s="88">
      <c r="A35" s="144" t="n"/>
      <c r="B35" s="144" t="n"/>
      <c r="C35" s="174" t="inlineStr">
        <is>
          <t>巨峰</t>
        </is>
      </c>
      <c r="D35" s="147">
        <f>SUMIFS(总库存!R:R,总库存!A:A,"增城省仓",总库存!B:B,"多形态",总库存!U:U,C35)</f>
        <v/>
      </c>
      <c r="E35" s="147">
        <f>SUMIFS(总库存!E:E,总库存!A:A,"增城省仓",总库存!B:B,"多形态",总库存!U:U,C35,总库存!E:E,1)</f>
        <v/>
      </c>
      <c r="F35" s="147">
        <f>SUMIFS(收货记录查询!Y:Y,收货记录查询!A:A,"增城省仓",收货记录查询!B:B,"多形态",收货记录查询!M:M,C35,收货记录查询!C:C,$A$1)</f>
        <v/>
      </c>
      <c r="G35" s="130" t="n"/>
      <c r="H35" s="147">
        <f>SUMIFS(出库全流程!C:C,出库全流程!A:A,"增城省仓",出库全流程!B:B,"多形态",出库全流程!W:W,C35)+SUMIFS(出库全流程!C:C,出库全流程!A:A,"零售电商仓",出库全流程!B:B,"多形态",出库全流程!W:W,C35)</f>
        <v/>
      </c>
      <c r="I35" s="130" t="n"/>
    </row>
    <row r="36" ht="15.6" customHeight="1" s="88">
      <c r="A36" s="144" t="n"/>
      <c r="B36" s="144" t="n"/>
      <c r="C36" s="174" t="inlineStr">
        <is>
          <t>极联</t>
        </is>
      </c>
      <c r="D36" s="147">
        <f>SUMIFS(总库存!R:R,总库存!A:A,"增城省仓",总库存!B:B,"多形态",总库存!U:U,C36)</f>
        <v/>
      </c>
      <c r="E36" s="147">
        <f>SUMIFS(总库存!E:E,总库存!A:A,"增城省仓",总库存!B:B,"多形态",总库存!U:U,C36,总库存!E:E,1)</f>
        <v/>
      </c>
      <c r="F36" s="147">
        <f>SUMIFS(收货记录查询!Y:Y,收货记录查询!A:A,"增城省仓",收货记录查询!B:B,"多形态",收货记录查询!M:M,C36,收货记录查询!C:C,$A$1)</f>
        <v/>
      </c>
      <c r="G36" s="130" t="n"/>
      <c r="H36" s="147">
        <f>SUMIFS(出库全流程!C:C,出库全流程!A:A,"增城省仓",出库全流程!B:B,"多形态",出库全流程!W:W,C36)+SUMIFS(出库全流程!C:C,出库全流程!A:A,"零售电商仓",出库全流程!B:B,"多形态",出库全流程!W:W,C36)</f>
        <v/>
      </c>
      <c r="I36" s="130" t="n"/>
    </row>
    <row r="37" ht="15.6" customHeight="1" s="88">
      <c r="A37" s="144" t="n"/>
      <c r="B37" s="144" t="n"/>
      <c r="C37" s="174" t="inlineStr">
        <is>
          <t>英得尔</t>
        </is>
      </c>
      <c r="D37" s="147">
        <f>SUMIFS(总库存!R:R,总库存!A:A,"增城省仓",总库存!B:B,"多形态",总库存!U:U,C37)</f>
        <v/>
      </c>
      <c r="E37" s="147">
        <f>SUMIFS(总库存!E:E,总库存!A:A,"增城省仓",总库存!B:B,"多形态",总库存!U:U,C37,总库存!E:E,1)</f>
        <v/>
      </c>
      <c r="F37" s="147">
        <f>SUMIFS(收货记录查询!Y:Y,收货记录查询!A:A,"增城省仓",收货记录查询!B:B,"多形态",收货记录查询!M:M,C37,收货记录查询!C:C,$A$1)</f>
        <v/>
      </c>
      <c r="G37" s="130" t="n"/>
      <c r="H37" s="147">
        <f>SUMIFS(出库全流程!C:C,出库全流程!A:A,"增城省仓",出库全流程!B:B,"多形态",出库全流程!W:W,C37)+SUMIFS(出库全流程!C:C,出库全流程!A:A,"零售电商仓",出库全流程!B:B,"多形态",出库全流程!W:W,C37)</f>
        <v/>
      </c>
      <c r="I37" s="130" t="n"/>
    </row>
    <row r="38" hidden="1" ht="15.6" customHeight="1" s="88">
      <c r="A38" s="144" t="n"/>
      <c r="B38" s="144" t="n"/>
      <c r="C38" s="174" t="inlineStr">
        <is>
          <t>ENABOT</t>
        </is>
      </c>
      <c r="D38" s="147">
        <f>SUMIFS(总库存!R:R,总库存!A:A,"增城省仓",总库存!B:B,"多形态",总库存!U:U,C38)</f>
        <v/>
      </c>
      <c r="E38" s="147">
        <f>SUMIFS(总库存!E:E,总库存!A:A,"增城省仓",总库存!B:B,"多形态",总库存!U:U,C38,总库存!E:E,1)</f>
        <v/>
      </c>
      <c r="F38" s="147">
        <f>SUMIFS(收货记录查询!Y:Y,收货记录查询!A:A,"增城省仓",收货记录查询!B:B,"多形态",收货记录查询!M:M,C38,收货记录查询!C:C,$A$1)</f>
        <v/>
      </c>
      <c r="G38" s="130" t="n"/>
      <c r="H38" s="147">
        <f>SUMIFS(出库全流程!C:C,出库全流程!A:A,"增城省仓",出库全流程!B:B,"多形态",出库全流程!W:W,C38)+SUMIFS(出库全流程!C:C,出库全流程!A:A,"零售电商仓",出库全流程!B:B,"多形态",出库全流程!W:W,C38)</f>
        <v/>
      </c>
      <c r="I38" s="130" t="n"/>
    </row>
    <row r="39" ht="15.6" customHeight="1" s="88">
      <c r="A39" s="144" t="n"/>
      <c r="B39" s="144" t="n"/>
      <c r="C39" s="174" t="inlineStr">
        <is>
          <t>车讯网</t>
        </is>
      </c>
      <c r="D39" s="147">
        <f>SUMIFS(总库存!R:R,总库存!A:A,"增城省仓",总库存!B:B,"多形态",总库存!U:U,C39)</f>
        <v/>
      </c>
      <c r="E39" s="147">
        <f>SUMIFS(总库存!E:E,总库存!A:A,"增城省仓",总库存!B:B,"多形态",总库存!U:U,C39,总库存!E:E,1)</f>
        <v/>
      </c>
      <c r="F39" s="147">
        <f>SUMIFS(收货记录查询!Y:Y,收货记录查询!A:A,"增城省仓",收货记录查询!B:B,"多形态",收货记录查询!M:M,C39,收货记录查询!C:C,$A$1)</f>
        <v/>
      </c>
      <c r="G39" s="130" t="n"/>
      <c r="H39" s="147">
        <f>SUMIFS(出库全流程!C:C,出库全流程!A:A,"增城省仓",出库全流程!B:B,"多形态",出库全流程!W:W,C39)+SUMIFS(出库全流程!C:C,出库全流程!A:A,"零售电商仓",出库全流程!B:B,"多形态",出库全流程!W:W,C39)</f>
        <v/>
      </c>
      <c r="I39" s="130" t="n"/>
    </row>
    <row r="40" ht="15.6" customHeight="1" s="88">
      <c r="A40" s="144" t="n"/>
      <c r="B40" s="144" t="n"/>
      <c r="C40" s="174" t="inlineStr">
        <is>
          <t>迈乐迪</t>
        </is>
      </c>
      <c r="D40" s="147">
        <f>SUMIFS(总库存!R:R,总库存!A:A,"增城省仓",总库存!B:B,"多形态",总库存!U:U,C40)</f>
        <v/>
      </c>
      <c r="E40" s="147">
        <f>SUMIFS(总库存!E:E,总库存!A:A,"增城省仓",总库存!B:B,"多形态",总库存!U:U,C40,总库存!E:E,1)</f>
        <v/>
      </c>
      <c r="F40" s="147">
        <f>SUMIFS(收货记录查询!Y:Y,收货记录查询!A:A,"增城省仓",收货记录查询!B:B,"多形态",收货记录查询!M:M,C40,收货记录查询!C:C,$A$1)</f>
        <v/>
      </c>
      <c r="G40" s="130" t="n"/>
      <c r="H40" s="147">
        <f>SUMIFS(出库全流程!C:C,出库全流程!A:A,"增城省仓",出库全流程!B:B,"多形态",出库全流程!W:W,C40)+SUMIFS(出库全流程!C:C,出库全流程!A:A,"零售电商仓",出库全流程!B:B,"多形态",出库全流程!W:W,C40)</f>
        <v/>
      </c>
      <c r="I40" s="130" t="n"/>
    </row>
    <row r="41" hidden="1" ht="15.6" customHeight="1" s="88">
      <c r="A41" s="144" t="n"/>
      <c r="B41" s="144" t="n"/>
      <c r="C41" s="174" t="inlineStr">
        <is>
          <t>金石</t>
        </is>
      </c>
      <c r="D41" s="147">
        <f>SUMIFS(总库存!R:R,总库存!A:A,"增城省仓",总库存!B:B,"多形态",总库存!U:U,C41)</f>
        <v/>
      </c>
      <c r="E41" s="147">
        <f>SUMIFS(总库存!E:E,总库存!A:A,"增城省仓",总库存!B:B,"多形态",总库存!U:U,C41,总库存!E:E,1)</f>
        <v/>
      </c>
      <c r="F41" s="147">
        <f>SUMIFS(收货记录查询!Y:Y,收货记录查询!A:A,"增城省仓",收货记录查询!B:B,"多形态",收货记录查询!M:M,C41,收货记录查询!C:C,$A$1)</f>
        <v/>
      </c>
      <c r="G41" s="130" t="n"/>
      <c r="H41" s="147">
        <f>SUMIFS(出库全流程!C:C,出库全流程!A:A,"增城省仓",出库全流程!B:B,"多形态",出库全流程!W:W,C41)+SUMIFS(出库全流程!C:C,出库全流程!A:A,"零售电商仓",出库全流程!B:B,"多形态",出库全流程!W:W,C41)</f>
        <v/>
      </c>
      <c r="I41" s="130" t="n"/>
    </row>
    <row r="42" ht="15.6" customHeight="1" s="88">
      <c r="A42" s="144" t="n"/>
      <c r="B42" s="144" t="n"/>
      <c r="C42" s="174" t="inlineStr">
        <is>
          <t>掌护</t>
        </is>
      </c>
      <c r="D42" s="147">
        <f>SUMIFS(总库存!R:R,总库存!A:A,"增城省仓",总库存!B:B,"多形态",总库存!U:U,C42)</f>
        <v/>
      </c>
      <c r="E42" s="147">
        <f>SUMIFS(总库存!E:E,总库存!A:A,"增城省仓",总库存!B:B,"多形态",总库存!U:U,C42,总库存!E:E,1)</f>
        <v/>
      </c>
      <c r="F42" s="147">
        <f>SUMIFS(收货记录查询!Y:Y,收货记录查询!A:A,"增城省仓",收货记录查询!B:B,"多形态",收货记录查询!M:M,C42,收货记录查询!C:C,$A$1)</f>
        <v/>
      </c>
      <c r="G42" s="130" t="n"/>
      <c r="H42" s="147">
        <f>SUMIFS(出库全流程!C:C,出库全流程!A:A,"增城省仓",出库全流程!B:B,"多形态",出库全流程!W:W,C42)+SUMIFS(出库全流程!C:C,出库全流程!A:A,"零售电商仓",出库全流程!B:B,"多形态",出库全流程!W:W,C42)</f>
        <v/>
      </c>
      <c r="I42" s="130" t="n"/>
    </row>
    <row r="43" ht="17" customHeight="1" s="88">
      <c r="A43" s="144" t="n"/>
      <c r="B43" s="144" t="n"/>
      <c r="C43" s="174" t="inlineStr">
        <is>
          <t>奇布奇布</t>
        </is>
      </c>
      <c r="D43" s="147">
        <f>SUMIFS(总库存!R:R,总库存!A:A,"增城省仓",总库存!B:B,"多形态",总库存!U:U,C43)</f>
        <v/>
      </c>
      <c r="E43" s="147">
        <f>SUMIFS(总库存!E:E,总库存!A:A,"增城省仓",总库存!B:B,"多形态",总库存!U:U,C43,总库存!E:E,1)</f>
        <v/>
      </c>
      <c r="F43" s="147">
        <f>SUMIFS(收货记录查询!Y:Y,收货记录查询!A:A,"增城省仓",收货记录查询!B:B,"多形态",收货记录查询!M:M,C43,收货记录查询!C:C,$A$1)</f>
        <v/>
      </c>
      <c r="G43" s="130" t="n"/>
      <c r="H43" s="147">
        <f>SUMIFS(出库全流程!C:C,出库全流程!A:A,"增城省仓",出库全流程!B:B,"多形态",出库全流程!W:W,C43)+SUMIFS(出库全流程!C:C,出库全流程!A:A,"零售电商仓",出库全流程!B:B,"多形态",出库全流程!W:W,C43)</f>
        <v/>
      </c>
      <c r="I43" s="130" t="n"/>
    </row>
    <row r="44" hidden="1" ht="15.6" customHeight="1" s="88">
      <c r="A44" s="144" t="n"/>
      <c r="B44" s="144" t="n"/>
      <c r="C44" s="174" t="inlineStr">
        <is>
          <t>中献</t>
        </is>
      </c>
      <c r="D44" s="147">
        <f>SUMIFS(总库存!R:R,总库存!A:A,"增城省仓",总库存!B:B,"多形态",总库存!U:U,C44)</f>
        <v/>
      </c>
      <c r="E44" s="147">
        <f>SUMIFS(总库存!E:E,总库存!A:A,"增城省仓",总库存!B:B,"多形态",总库存!U:U,C44,总库存!E:E,1)</f>
        <v/>
      </c>
      <c r="F44" s="147">
        <f>SUMIFS(收货记录查询!Y:Y,收货记录查询!A:A,"增城省仓",收货记录查询!B:B,"多形态",收货记录查询!M:M,C44,收货记录查询!C:C,$A$1)</f>
        <v/>
      </c>
      <c r="G44" s="130" t="n"/>
      <c r="H44" s="147">
        <f>SUMIFS(出库全流程!C:C,出库全流程!A:A,"增城省仓",出库全流程!B:B,"多形态",出库全流程!W:W,C44)+SUMIFS(出库全流程!C:C,出库全流程!A:A,"零售电商仓",出库全流程!B:B,"多形态",出库全流程!W:W,C44)</f>
        <v/>
      </c>
      <c r="I44" s="130" t="n"/>
    </row>
    <row r="45" hidden="1" ht="15.6" customHeight="1" s="88">
      <c r="A45" s="144" t="n"/>
      <c r="B45" s="144" t="n"/>
      <c r="C45" s="174" t="inlineStr">
        <is>
          <t>雷霆信息</t>
        </is>
      </c>
      <c r="D45" s="147">
        <f>SUMIFS(总库存!R:R,总库存!A:A,"增城省仓",总库存!B:B,"多形态",总库存!U:U,C45)</f>
        <v/>
      </c>
      <c r="E45" s="147">
        <f>SUMIFS(总库存!E:E,总库存!A:A,"增城省仓",总库存!B:B,"多形态",总库存!U:U,C45,总库存!E:E,1)</f>
        <v/>
      </c>
      <c r="F45" s="147">
        <f>SUMIFS(收货记录查询!Y:Y,收货记录查询!A:A,"增城省仓",收货记录查询!B:B,"多形态",收货记录查询!M:M,C45,收货记录查询!C:C,$A$1)</f>
        <v/>
      </c>
      <c r="G45" s="130" t="n"/>
      <c r="H45" s="147">
        <f>SUMIFS(出库全流程!C:C,出库全流程!A:A,"增城省仓",出库全流程!B:B,"多形态",出库全流程!W:W,C45)+SUMIFS(出库全流程!C:C,出库全流程!A:A,"零售电商仓",出库全流程!B:B,"多形态",出库全流程!W:W,C45)</f>
        <v/>
      </c>
      <c r="I45" s="130" t="n"/>
    </row>
    <row r="46" ht="15.6" customHeight="1" s="88">
      <c r="A46" s="144" t="n"/>
      <c r="B46" s="144" t="n"/>
      <c r="C46" s="174" t="inlineStr">
        <is>
          <t>关小爱</t>
        </is>
      </c>
      <c r="D46" s="147">
        <f>SUMIFS(总库存!R:R,总库存!A:A,"增城省仓",总库存!B:B,"多形态",总库存!U:U,C46)</f>
        <v/>
      </c>
      <c r="E46" s="147">
        <f>SUMIFS(总库存!E:E,总库存!A:A,"增城省仓",总库存!B:B,"多形态",总库存!U:U,C46,总库存!E:E,1)</f>
        <v/>
      </c>
      <c r="F46" s="147">
        <f>SUMIFS(收货记录查询!Y:Y,收货记录查询!A:A,"增城省仓",收货记录查询!B:B,"多形态",收货记录查询!M:M,C46,收货记录查询!C:C,$A$1)</f>
        <v/>
      </c>
      <c r="G46" s="130" t="n"/>
      <c r="H46" s="147">
        <f>SUMIFS(出库全流程!C:C,出库全流程!A:A,"增城省仓",出库全流程!B:B,"多形态",出库全流程!W:W,C46)+SUMIFS(出库全流程!C:C,出库全流程!A:A,"零售电商仓",出库全流程!B:B,"多形态",出库全流程!W:W,C46)</f>
        <v/>
      </c>
      <c r="I46" s="130" t="n"/>
    </row>
    <row r="47" hidden="1" ht="15.6" customHeight="1" s="88">
      <c r="A47" s="144" t="n"/>
      <c r="B47" s="144" t="n"/>
      <c r="C47" s="174" t="inlineStr">
        <is>
          <t>健之康</t>
        </is>
      </c>
      <c r="D47" s="147">
        <f>SUMIFS(总库存!R:R,总库存!A:A,"增城省仓",总库存!B:B,"多形态",总库存!U:U,C47)</f>
        <v/>
      </c>
      <c r="E47" s="147">
        <f>SUMIFS(总库存!E:E,总库存!A:A,"增城省仓",总库存!B:B,"多形态",总库存!U:U,C47,总库存!E:E,1)</f>
        <v/>
      </c>
      <c r="F47" s="147">
        <f>SUMIFS(收货记录查询!Y:Y,收货记录查询!A:A,"增城省仓",收货记录查询!B:B,"多形态",收货记录查询!M:M,C47,收货记录查询!C:C,$A$1)</f>
        <v/>
      </c>
      <c r="G47" s="130" t="n"/>
      <c r="H47" s="147">
        <f>SUMIFS(出库全流程!C:C,出库全流程!A:A,"增城省仓",出库全流程!B:B,"多形态",出库全流程!W:W,C47)+SUMIFS(出库全流程!C:C,出库全流程!A:A,"零售电商仓",出库全流程!B:B,"多形态",出库全流程!W:W,C47)</f>
        <v/>
      </c>
      <c r="I47" s="130" t="n"/>
    </row>
    <row r="48" ht="15.6" customHeight="1" s="88">
      <c r="A48" s="144" t="n"/>
      <c r="B48" s="144" t="n"/>
      <c r="C48" s="174" t="inlineStr">
        <is>
          <t>创米爱飞迅</t>
        </is>
      </c>
      <c r="D48" s="147">
        <f>SUMIFS(总库存!R:R,总库存!A:A,"增城省仓",总库存!B:B,"多形态",总库存!U:U,C48)</f>
        <v/>
      </c>
      <c r="E48" s="147">
        <f>SUMIFS(总库存!E:E,总库存!A:A,"增城省仓",总库存!B:B,"多形态",总库存!U:U,C48,总库存!E:E,1)</f>
        <v/>
      </c>
      <c r="F48" s="147">
        <f>SUMIFS(收货记录查询!Y:Y,收货记录查询!A:A,"增城省仓",收货记录查询!B:B,"多形态",收货记录查询!M:M,C48,收货记录查询!C:C,$A$1)</f>
        <v/>
      </c>
      <c r="G48" s="130" t="n"/>
      <c r="H48" s="147">
        <f>SUMIFS(出库全流程!C:C,出库全流程!A:A,"增城省仓",出库全流程!B:B,"多形态",出库全流程!W:W,C48)+SUMIFS(出库全流程!C:C,出库全流程!A:A,"零售电商仓",出库全流程!B:B,"多形态",出库全流程!W:W,C48)</f>
        <v/>
      </c>
      <c r="I48" s="130" t="n"/>
    </row>
    <row r="49" ht="15.6" customHeight="1" s="88">
      <c r="A49" s="144" t="n"/>
      <c r="B49" s="144" t="n"/>
      <c r="C49" s="174" t="inlineStr">
        <is>
          <t>友倍康</t>
        </is>
      </c>
      <c r="D49" s="147">
        <f>SUMIFS(总库存!R:R,总库存!A:A,"增城省仓",总库存!B:B,"多形态",总库存!U:U,C49)</f>
        <v/>
      </c>
      <c r="E49" s="147">
        <f>SUMIFS(总库存!E:E,总库存!A:A,"增城省仓",总库存!B:B,"多形态",总库存!U:U,C49,总库存!E:E,1)</f>
        <v/>
      </c>
      <c r="F49" s="147">
        <f>SUMIFS(收货记录查询!Y:Y,收货记录查询!A:A,"增城省仓",收货记录查询!B:B,"多形态",收货记录查询!M:M,C49,收货记录查询!C:C,$A$1)</f>
        <v/>
      </c>
      <c r="G49" s="130" t="n"/>
      <c r="H49" s="147">
        <f>SUMIFS(出库全流程!C:C,出库全流程!A:A,"增城省仓",出库全流程!B:B,"多形态",出库全流程!W:W,C49)+SUMIFS(出库全流程!C:C,出库全流程!A:A,"零售电商仓",出库全流程!B:B,"多形态",出库全流程!W:W,C49)</f>
        <v/>
      </c>
      <c r="I49" s="130" t="n"/>
    </row>
    <row r="50" ht="15.6" customHeight="1" s="88">
      <c r="A50" s="144" t="n"/>
      <c r="B50" s="144" t="n"/>
      <c r="C50" s="174" t="inlineStr">
        <is>
          <t>罗曼</t>
        </is>
      </c>
      <c r="D50" s="147">
        <f>SUMIFS(总库存!R:R,总库存!A:A,"增城省仓",总库存!B:B,"多形态",总库存!U:U,C50)</f>
        <v/>
      </c>
      <c r="E50" s="147">
        <f>SUMIFS(总库存!E:E,总库存!A:A,"增城省仓",总库存!B:B,"多形态",总库存!U:U,C50,总库存!E:E,1)</f>
        <v/>
      </c>
      <c r="F50" s="147">
        <f>SUMIFS(收货记录查询!Y:Y,收货记录查询!A:A,"增城省仓",收货记录查询!B:B,"多形态",收货记录查询!M:M,C50,收货记录查询!C:C,$A$1)</f>
        <v/>
      </c>
      <c r="G50" s="130" t="n"/>
      <c r="H50" s="147">
        <f>SUMIFS(出库全流程!C:C,出库全流程!A:A,"增城省仓",出库全流程!B:B,"多形态",出库全流程!W:W,C50)+SUMIFS(出库全流程!C:C,出库全流程!A:A,"零售电商仓",出库全流程!B:B,"多形态",出库全流程!W:W,C50)</f>
        <v/>
      </c>
      <c r="I50" s="130" t="n"/>
    </row>
    <row r="51" ht="15.6" customHeight="1" s="88">
      <c r="A51" s="144" t="n"/>
      <c r="B51" s="144" t="n"/>
      <c r="C51" s="174" t="inlineStr">
        <is>
          <t>颐德</t>
        </is>
      </c>
      <c r="D51" s="147">
        <f>SUMIFS(总库存!R:R,总库存!A:A,"增城省仓",总库存!B:B,"多形态",总库存!U:U,C51)</f>
        <v/>
      </c>
      <c r="E51" s="147">
        <f>SUMIFS(总库存!E:E,总库存!A:A,"增城省仓",总库存!B:B,"多形态",总库存!U:U,C51,总库存!E:E,1)</f>
        <v/>
      </c>
      <c r="F51" s="147">
        <f>SUMIFS(收货记录查询!Y:Y,收货记录查询!A:A,"增城省仓",收货记录查询!B:B,"多形态",收货记录查询!M:M,C51,收货记录查询!C:C,$A$1)</f>
        <v/>
      </c>
      <c r="G51" s="130" t="n"/>
      <c r="H51" s="147">
        <f>SUMIFS(出库全流程!C:C,出库全流程!A:A,"增城省仓",出库全流程!B:B,"多形态",出库全流程!W:W,C51)+SUMIFS(出库全流程!C:C,出库全流程!A:A,"零售电商仓",出库全流程!B:B,"多形态",出库全流程!W:W,C51)</f>
        <v/>
      </c>
      <c r="I51" s="130" t="n"/>
    </row>
    <row r="52" hidden="1" ht="15.6" customHeight="1" s="88">
      <c r="A52" s="144" t="n"/>
      <c r="B52" s="144" t="n"/>
      <c r="C52" s="174" t="inlineStr">
        <is>
          <t>药叮铃</t>
        </is>
      </c>
      <c r="D52" s="147">
        <f>SUMIFS(总库存!R:R,总库存!A:A,"增城省仓",总库存!B:B,"多形态",总库存!U:U,C52)</f>
        <v/>
      </c>
      <c r="E52" s="147">
        <f>SUMIFS(总库存!E:E,总库存!A:A,"增城省仓",总库存!B:B,"多形态",总库存!U:U,C52,总库存!E:E,1)</f>
        <v/>
      </c>
      <c r="F52" s="147">
        <f>SUMIFS(收货记录查询!Y:Y,收货记录查询!A:A,"增城省仓",收货记录查询!B:B,"多形态",收货记录查询!M:M,C52,收货记录查询!C:C,$A$1)</f>
        <v/>
      </c>
      <c r="G52" s="130" t="n"/>
      <c r="H52" s="147">
        <f>SUMIFS(出库全流程!C:C,出库全流程!A:A,"增城省仓",出库全流程!B:B,"多形态",出库全流程!W:W,C52)+SUMIFS(出库全流程!C:C,出库全流程!A:A,"零售电商仓",出库全流程!B:B,"多形态",出库全流程!W:W,C52)</f>
        <v/>
      </c>
      <c r="I52" s="130" t="n"/>
    </row>
    <row r="53" ht="15.6" customHeight="1" s="88">
      <c r="A53" s="144" t="n"/>
      <c r="B53" s="144" t="n"/>
      <c r="C53" s="174" t="inlineStr">
        <is>
          <t>科道芯国</t>
        </is>
      </c>
      <c r="D53" s="147">
        <f>SUMIFS(总库存!R:R,总库存!A:A,"增城省仓",总库存!B:B,"多形态",总库存!U:U,C53)</f>
        <v/>
      </c>
      <c r="E53" s="147">
        <f>SUMIFS(总库存!E:E,总库存!A:A,"增城省仓",总库存!B:B,"多形态",总库存!U:U,C53,总库存!E:E,1)</f>
        <v/>
      </c>
      <c r="F53" s="147">
        <f>SUMIFS(收货记录查询!Y:Y,收货记录查询!A:A,"增城省仓",收货记录查询!B:B,"多形态",收货记录查询!M:M,C53,收货记录查询!C:C,$A$1)</f>
        <v/>
      </c>
      <c r="G53" s="130" t="n"/>
      <c r="H53" s="147">
        <f>SUMIFS(出库全流程!C:C,出库全流程!A:A,"增城省仓",出库全流程!B:B,"多形态",出库全流程!W:W,C53)+SUMIFS(出库全流程!C:C,出库全流程!A:A,"零售电商仓",出库全流程!B:B,"多形态",出库全流程!W:W,C53)</f>
        <v/>
      </c>
      <c r="I53" s="130" t="n"/>
    </row>
    <row r="54" ht="15.6" customHeight="1" s="88">
      <c r="A54" s="144" t="n"/>
      <c r="B54" s="144" t="n"/>
      <c r="C54" s="174" t="inlineStr">
        <is>
          <t>韦德</t>
        </is>
      </c>
      <c r="D54" s="147">
        <f>SUMIFS(总库存!R:R,总库存!A:A,"增城省仓",总库存!B:B,"多形态",总库存!U:U,C54)</f>
        <v/>
      </c>
      <c r="E54" s="147">
        <f>SUMIFS(总库存!E:E,总库存!A:A,"增城省仓",总库存!B:B,"多形态",总库存!U:U,C54,总库存!E:E,1)</f>
        <v/>
      </c>
      <c r="F54" s="147">
        <f>SUMIFS(收货记录查询!Y:Y,收货记录查询!A:A,"增城省仓",收货记录查询!B:B,"多形态",收货记录查询!M:M,C54,收货记录查询!C:C,$A$1)</f>
        <v/>
      </c>
      <c r="G54" s="130" t="n"/>
      <c r="H54" s="147">
        <f>SUMIFS(出库全流程!C:C,出库全流程!A:A,"增城省仓",出库全流程!B:B,"多形态",出库全流程!W:W,C54)+SUMIFS(出库全流程!C:C,出库全流程!A:A,"零售电商仓",出库全流程!B:B,"多形态",出库全流程!W:W,C54)</f>
        <v/>
      </c>
      <c r="I54" s="130" t="n"/>
    </row>
    <row r="55" ht="15.6" customHeight="1" s="88">
      <c r="A55" s="144" t="n"/>
      <c r="B55" s="144" t="n"/>
      <c r="C55" s="174" t="inlineStr">
        <is>
          <t>VEZY</t>
        </is>
      </c>
      <c r="D55" s="147">
        <f>SUMIFS(总库存!R:R,总库存!A:A,"增城省仓",总库存!B:B,"多形态",总库存!U:U,C55)</f>
        <v/>
      </c>
      <c r="E55" s="147">
        <f>SUMIFS(总库存!E:E,总库存!A:A,"增城省仓",总库存!B:B,"多形态",总库存!U:U,C55,总库存!E:E,1)</f>
        <v/>
      </c>
      <c r="F55" s="147">
        <f>SUMIFS(收货记录查询!Y:Y,收货记录查询!A:A,"增城省仓",收货记录查询!B:B,"多形态",收货记录查询!M:M,C55,收货记录查询!C:C,$A$1)</f>
        <v/>
      </c>
      <c r="G55" s="130" t="n"/>
      <c r="H55" s="147">
        <f>SUMIFS(出库全流程!C:C,出库全流程!A:A,"增城省仓",出库全流程!B:B,"多形态",出库全流程!W:W,C55)+SUMIFS(出库全流程!C:C,出库全流程!A:A,"零售电商仓",出库全流程!B:B,"多形态",出库全流程!W:W,C55)</f>
        <v/>
      </c>
      <c r="I55" s="130" t="n"/>
    </row>
    <row r="56" ht="15.6" customHeight="1" s="88">
      <c r="A56" s="144" t="n"/>
      <c r="B56" s="144" t="n"/>
      <c r="C56" s="174" t="inlineStr">
        <is>
          <t>迪科</t>
        </is>
      </c>
      <c r="D56" s="147">
        <f>SUMIFS(总库存!R:R,总库存!A:A,"增城省仓",总库存!B:B,"多形态",总库存!U:U,C56)</f>
        <v/>
      </c>
      <c r="E56" s="147">
        <f>SUMIFS(总库存!E:E,总库存!A:A,"增城省仓",总库存!B:B,"多形态",总库存!U:U,C56,总库存!E:E,1)</f>
        <v/>
      </c>
      <c r="F56" s="147">
        <f>SUMIFS(收货记录查询!Y:Y,收货记录查询!A:A,"增城省仓",收货记录查询!B:B,"多形态",收货记录查询!M:M,C56,收货记录查询!C:C,$A$1)</f>
        <v/>
      </c>
      <c r="G56" s="130" t="n"/>
      <c r="H56" s="147">
        <f>SUMIFS(出库全流程!C:C,出库全流程!A:A,"增城省仓",出库全流程!B:B,"多形态",出库全流程!W:W,C56)+SUMIFS(出库全流程!C:C,出库全流程!A:A,"零售电商仓",出库全流程!B:B,"多形态",出库全流程!W:W,C56)</f>
        <v/>
      </c>
      <c r="I56" s="130" t="n"/>
    </row>
    <row r="57" hidden="1" ht="15.6" customHeight="1" s="88">
      <c r="A57" s="144" t="n"/>
      <c r="B57" s="144" t="n"/>
      <c r="C57" s="174" t="inlineStr">
        <is>
          <t>J-STYLELIF</t>
        </is>
      </c>
      <c r="D57" s="147">
        <f>SUMIFS(总库存!R:R,总库存!A:A,"增城省仓",总库存!B:B,"多形态",总库存!U:U,C57)</f>
        <v/>
      </c>
      <c r="E57" s="147">
        <f>SUMIFS(总库存!E:E,总库存!A:A,"增城省仓",总库存!B:B,"多形态",总库存!U:U,C57,总库存!E:E,1)</f>
        <v/>
      </c>
      <c r="F57" s="147">
        <f>SUMIFS(收货记录查询!Y:Y,收货记录查询!A:A,"增城省仓",收货记录查询!B:B,"多形态",收货记录查询!M:M,C57,收货记录查询!C:C,$A$1)</f>
        <v/>
      </c>
      <c r="G57" s="130" t="n"/>
      <c r="H57" s="147">
        <f>SUMIFS(出库全流程!C:C,出库全流程!A:A,"增城省仓",出库全流程!B:B,"多形态",出库全流程!W:W,C57)+SUMIFS(出库全流程!C:C,出库全流程!A:A,"零售电商仓",出库全流程!B:B,"多形态",出库全流程!W:W,C57)</f>
        <v/>
      </c>
      <c r="I57" s="130" t="n"/>
    </row>
    <row r="58" ht="15.6" customHeight="1" s="88">
      <c r="A58" s="144" t="n"/>
      <c r="B58" s="144" t="n"/>
      <c r="C58" s="174" t="inlineStr">
        <is>
          <t>心大陆</t>
        </is>
      </c>
      <c r="D58" s="147">
        <f>SUMIFS(总库存!R:R,总库存!A:A,"增城省仓",总库存!B:B,"多形态",总库存!U:U,C58)</f>
        <v/>
      </c>
      <c r="E58" s="147">
        <f>SUMIFS(总库存!E:E,总库存!A:A,"增城省仓",总库存!B:B,"多形态",总库存!U:U,C58,总库存!E:E,1)</f>
        <v/>
      </c>
      <c r="F58" s="147">
        <f>SUMIFS(收货记录查询!Y:Y,收货记录查询!A:A,"增城省仓",收货记录查询!B:B,"多形态",收货记录查询!M:M,C58,收货记录查询!C:C,$A$1)</f>
        <v/>
      </c>
      <c r="G58" s="130" t="n"/>
      <c r="H58" s="147">
        <f>SUMIFS(出库全流程!C:C,出库全流程!A:A,"增城省仓",出库全流程!B:B,"多形态",出库全流程!W:W,C58)+SUMIFS(出库全流程!C:C,出库全流程!A:A,"零售电商仓",出库全流程!B:B,"多形态",出库全流程!W:W,C58)</f>
        <v/>
      </c>
      <c r="I58" s="130" t="n"/>
    </row>
    <row r="59" ht="15.6" customHeight="1" s="88">
      <c r="A59" s="144" t="n"/>
      <c r="B59" s="144" t="n"/>
      <c r="C59" s="174" t="inlineStr">
        <is>
          <t>欧瑞博</t>
        </is>
      </c>
      <c r="D59" s="147">
        <f>SUMIFS(总库存!R:R,总库存!A:A,"增城省仓",总库存!B:B,"多形态",总库存!U:U,C59)</f>
        <v/>
      </c>
      <c r="E59" s="147">
        <f>SUMIFS(总库存!E:E,总库存!A:A,"增城省仓",总库存!B:B,"多形态",总库存!U:U,C59,总库存!E:E,1)</f>
        <v/>
      </c>
      <c r="F59" s="147">
        <f>SUMIFS(收货记录查询!Y:Y,收货记录查询!A:A,"增城省仓",收货记录查询!B:B,"多形态",收货记录查询!M:M,C59,收货记录查询!C:C,$A$1)</f>
        <v/>
      </c>
      <c r="G59" s="130" t="n"/>
      <c r="H59" s="147">
        <f>SUMIFS(出库全流程!C:C,出库全流程!A:A,"增城省仓",出库全流程!B:B,"多形态",出库全流程!W:W,C59)+SUMIFS(出库全流程!C:C,出库全流程!A:A,"零售电商仓",出库全流程!B:B,"多形态",出库全流程!W:W,C59)</f>
        <v/>
      </c>
      <c r="I59" s="130" t="n"/>
    </row>
    <row r="60" ht="15.6" customHeight="1" s="88">
      <c r="A60" s="144" t="n"/>
      <c r="B60" s="144" t="n"/>
      <c r="C60" s="174" t="inlineStr">
        <is>
          <t>视加</t>
        </is>
      </c>
      <c r="D60" s="147">
        <f>SUMIFS(总库存!R:R,总库存!A:A,"增城省仓",总库存!B:B,"多形态",总库存!U:U,C60)</f>
        <v/>
      </c>
      <c r="E60" s="147">
        <f>SUMIFS(总库存!E:E,总库存!A:A,"增城省仓",总库存!B:B,"多形态",总库存!U:U,C60,总库存!E:E,1)</f>
        <v/>
      </c>
      <c r="F60" s="147">
        <f>SUMIFS(收货记录查询!Y:Y,收货记录查询!A:A,"增城省仓",收货记录查询!B:B,"多形态",收货记录查询!M:M,C60,收货记录查询!C:C,$A$1)</f>
        <v/>
      </c>
      <c r="G60" s="130" t="n"/>
      <c r="H60" s="147">
        <f>SUMIFS(出库全流程!C:C,出库全流程!A:A,"增城省仓",出库全流程!B:B,"多形态",出库全流程!W:W,C60)+SUMIFS(出库全流程!C:C,出库全流程!A:A,"零售电商仓",出库全流程!B:B,"多形态",出库全流程!W:W,C60)</f>
        <v/>
      </c>
      <c r="I60" s="130" t="n"/>
    </row>
    <row r="61" ht="15.6" customHeight="1" s="88">
      <c r="A61" s="144" t="n"/>
      <c r="B61" s="144" t="n"/>
      <c r="C61" s="174" t="inlineStr">
        <is>
          <t>希特</t>
        </is>
      </c>
      <c r="D61" s="147">
        <f>SUMIFS(总库存!R:R,总库存!A:A,"增城省仓",总库存!B:B,"多形态",总库存!U:U,C61)</f>
        <v/>
      </c>
      <c r="E61" s="147">
        <f>SUMIFS(总库存!E:E,总库存!A:A,"增城省仓",总库存!B:B,"多形态",总库存!U:U,C61,总库存!E:E,1)</f>
        <v/>
      </c>
      <c r="F61" s="147">
        <f>SUMIFS(收货记录查询!Y:Y,收货记录查询!A:A,"增城省仓",收货记录查询!B:B,"多形态",收货记录查询!M:M,C61,收货记录查询!C:C,$A$1)</f>
        <v/>
      </c>
      <c r="G61" s="130" t="n"/>
      <c r="H61" s="147">
        <f>SUMIFS(出库全流程!C:C,出库全流程!A:A,"增城省仓",出库全流程!B:B,"多形态",出库全流程!W:W,C61)+SUMIFS(出库全流程!C:C,出库全流程!A:A,"零售电商仓",出库全流程!B:B,"多形态",出库全流程!W:W,C61)</f>
        <v/>
      </c>
      <c r="I61" s="130" t="n"/>
    </row>
    <row r="62" ht="15.6" customHeight="1" s="88">
      <c r="A62" s="144" t="n"/>
      <c r="B62" s="144" t="n"/>
      <c r="C62" s="174" t="inlineStr">
        <is>
          <t>百灵声学</t>
        </is>
      </c>
      <c r="D62" s="147">
        <f>SUMIFS(总库存!R:R,总库存!A:A,"增城省仓",总库存!B:B,"多形态",总库存!U:U,C62)</f>
        <v/>
      </c>
      <c r="E62" s="147">
        <f>SUMIFS(总库存!E:E,总库存!A:A,"增城省仓",总库存!B:B,"多形态",总库存!U:U,C62,总库存!E:E,1)</f>
        <v/>
      </c>
      <c r="F62" s="147">
        <f>SUMIFS(收货记录查询!Y:Y,收货记录查询!A:A,"增城省仓",收货记录查询!B:B,"多形态",收货记录查询!M:M,C62,收货记录查询!C:C,$A$1)</f>
        <v/>
      </c>
      <c r="G62" s="130" t="n"/>
      <c r="H62" s="147">
        <f>SUMIFS(出库全流程!C:C,出库全流程!A:A,"增城省仓",出库全流程!B:B,"多形态",出库全流程!W:W,C62)+SUMIFS(出库全流程!C:C,出库全流程!A:A,"零售电商仓",出库全流程!B:B,"多形态",出库全流程!W:W,C62)</f>
        <v/>
      </c>
      <c r="I62" s="130" t="n"/>
    </row>
    <row r="63" ht="15.6" customHeight="1" s="88">
      <c r="A63" s="144" t="n"/>
      <c r="B63" s="144" t="n"/>
      <c r="C63" s="174" t="inlineStr">
        <is>
          <t>苹果</t>
        </is>
      </c>
      <c r="D63" s="147">
        <f>SUMIFS(总库存!R:R,总库存!A:A,"增城省仓",总库存!B:B,"多形态",总库存!U:U,C63)</f>
        <v/>
      </c>
      <c r="E63" s="147">
        <f>SUMIFS(总库存!E:E,总库存!A:A,"增城省仓",总库存!B:B,"多形态",总库存!U:U,C63,总库存!E:E,1)</f>
        <v/>
      </c>
      <c r="F63" s="147">
        <f>SUMIFS(收货记录查询!Y:Y,收货记录查询!A:A,"增城省仓",收货记录查询!B:B,"多形态",收货记录查询!M:M,C63,收货记录查询!C:C,$A$1)</f>
        <v/>
      </c>
      <c r="G63" s="130" t="n"/>
      <c r="H63" s="147">
        <f>SUMIFS(出库全流程!C:C,出库全流程!A:A,"增城省仓",出库全流程!B:B,"多形态",出库全流程!W:W,C63)+SUMIFS(出库全流程!C:C,出库全流程!A:A,"零售电商仓",出库全流程!B:B,"多形态",出库全流程!W:W,C63)</f>
        <v/>
      </c>
      <c r="I63" s="130" t="n"/>
    </row>
    <row r="64" ht="15.6" customHeight="1" s="88">
      <c r="A64" s="144" t="n"/>
      <c r="B64" s="144" t="n"/>
      <c r="C64" s="174" t="inlineStr">
        <is>
          <t>海信</t>
        </is>
      </c>
      <c r="D64" s="147">
        <f>SUMIFS(总库存!R:R,总库存!A:A,"增城省仓",总库存!B:B,"多形态",总库存!U:U,C64)</f>
        <v/>
      </c>
      <c r="E64" s="147">
        <f>SUMIFS(总库存!E:E,总库存!A:A,"增城省仓",总库存!B:B,"多形态",总库存!U:U,C64,总库存!E:E,1)</f>
        <v/>
      </c>
      <c r="F64" s="147">
        <f>SUMIFS(收货记录查询!Y:Y,收货记录查询!A:A,"增城省仓",收货记录查询!B:B,"多形态",收货记录查询!M:M,C64,收货记录查询!C:C,$A$1)</f>
        <v/>
      </c>
      <c r="G64" s="130" t="n"/>
      <c r="H64" s="147">
        <f>SUMIFS(出库全流程!C:C,出库全流程!A:A,"增城省仓",出库全流程!B:B,"多形态",出库全流程!W:W,C64)+SUMIFS(出库全流程!C:C,出库全流程!A:A,"零售电商仓",出库全流程!B:B,"多形态",出库全流程!W:W,C64)</f>
        <v/>
      </c>
      <c r="I64" s="130" t="n"/>
    </row>
    <row r="65" ht="15.6" customHeight="1" s="88">
      <c r="A65" s="144" t="n"/>
      <c r="B65" s="144" t="n"/>
      <c r="C65" s="174" t="inlineStr">
        <is>
          <t>乐橙</t>
        </is>
      </c>
      <c r="D65" s="147">
        <f>SUMIFS(总库存!R:R,总库存!A:A,"增城省仓",总库存!B:B,"多形态",总库存!U:U,C65)</f>
        <v/>
      </c>
      <c r="E65" s="147">
        <f>SUMIFS(总库存!E:E,总库存!A:A,"增城省仓",总库存!B:B,"多形态",总库存!U:U,C65,总库存!E:E,1)</f>
        <v/>
      </c>
      <c r="F65" s="147">
        <f>SUMIFS(收货记录查询!Y:Y,收货记录查询!A:A,"增城省仓",收货记录查询!B:B,"多形态",收货记录查询!M:M,C65,收货记录查询!C:C,$A$1)</f>
        <v/>
      </c>
      <c r="G65" s="130" t="n"/>
      <c r="H65" s="147">
        <f>SUMIFS(出库全流程!C:C,出库全流程!A:A,"增城省仓",出库全流程!B:B,"多形态",出库全流程!W:W,C65)+SUMIFS(出库全流程!C:C,出库全流程!A:A,"零售电商仓",出库全流程!B:B,"多形态",出库全流程!W:W,C65)</f>
        <v/>
      </c>
      <c r="I65" s="130" t="n"/>
    </row>
    <row r="66" ht="15.6" customHeight="1" s="88">
      <c r="A66" s="144" t="n"/>
      <c r="B66" s="144" t="n"/>
      <c r="C66" s="174" t="inlineStr">
        <is>
          <t>海曼科技</t>
        </is>
      </c>
      <c r="D66" s="147">
        <f>SUMIFS(总库存!R:R,总库存!A:A,"增城省仓",总库存!B:B,"多形态",总库存!U:U,C66)</f>
        <v/>
      </c>
      <c r="E66" s="147">
        <f>SUMIFS(总库存!E:E,总库存!A:A,"增城省仓",总库存!B:B,"多形态",总库存!U:U,C66,总库存!E:E,1)</f>
        <v/>
      </c>
      <c r="F66" s="147">
        <f>SUMIFS(收货记录查询!Y:Y,收货记录查询!A:A,"增城省仓",收货记录查询!B:B,"多形态",收货记录查询!M:M,C66,收货记录查询!C:C,$A$1)</f>
        <v/>
      </c>
      <c r="G66" s="130" t="n"/>
      <c r="H66" s="147">
        <f>SUMIFS(出库全流程!C:C,出库全流程!A:A,"增城省仓",出库全流程!B:B,"多形态",出库全流程!W:W,C66)+SUMIFS(出库全流程!C:C,出库全流程!A:A,"零售电商仓",出库全流程!B:B,"多形态",出库全流程!W:W,C66)</f>
        <v/>
      </c>
      <c r="I66" s="130" t="n"/>
    </row>
    <row r="67" ht="15.6" customHeight="1" s="88">
      <c r="A67" s="144" t="n"/>
      <c r="B67" s="144" t="n"/>
      <c r="C67" s="174" t="inlineStr">
        <is>
          <t>汗牛</t>
        </is>
      </c>
      <c r="D67" s="147">
        <f>SUMIFS(总库存!R:R,总库存!A:A,"增城省仓",总库存!B:B,"多形态",总库存!U:U,C67)</f>
        <v/>
      </c>
      <c r="E67" s="147">
        <f>SUMIFS(总库存!E:E,总库存!A:A,"增城省仓",总库存!B:B,"多形态",总库存!U:U,C67,总库存!E:E,1)</f>
        <v/>
      </c>
      <c r="F67" s="147">
        <f>SUMIFS(收货记录查询!Y:Y,收货记录查询!A:A,"增城省仓",收货记录查询!B:B,"多形态",收货记录查询!M:M,C67,收货记录查询!C:C,$A$1)</f>
        <v/>
      </c>
      <c r="G67" s="130" t="n"/>
      <c r="H67" s="147">
        <f>SUMIFS(出库全流程!C:C,出库全流程!A:A,"增城省仓",出库全流程!B:B,"多形态",出库全流程!W:W,C67)+SUMIFS(出库全流程!C:C,出库全流程!A:A,"零售电商仓",出库全流程!B:B,"多形态",出库全流程!W:W,C67)</f>
        <v/>
      </c>
      <c r="I67" s="130" t="n"/>
    </row>
    <row r="68" ht="15.6" customHeight="1" s="88">
      <c r="A68" s="144" t="n"/>
      <c r="B68" s="144" t="n"/>
      <c r="C68" s="174" t="inlineStr">
        <is>
          <t>喜马拉雅FM</t>
        </is>
      </c>
      <c r="D68" s="147">
        <f>SUMIFS(总库存!R:R,总库存!A:A,"增城省仓",总库存!B:B,"多形态",总库存!U:U,C68)</f>
        <v/>
      </c>
      <c r="E68" s="147">
        <f>SUMIFS(总库存!E:E,总库存!A:A,"增城省仓",总库存!B:B,"多形态",总库存!U:U,C68,总库存!E:E,1)</f>
        <v/>
      </c>
      <c r="F68" s="147">
        <f>SUMIFS(收货记录查询!Y:Y,收货记录查询!A:A,"增城省仓",收货记录查询!B:B,"多形态",收货记录查询!M:M,C68,收货记录查询!C:C,$A$1)</f>
        <v/>
      </c>
      <c r="G68" s="130" t="n"/>
      <c r="H68" s="147">
        <f>SUMIFS(出库全流程!C:C,出库全流程!A:A,"增城省仓",出库全流程!B:B,"多形态",出库全流程!W:W,C68)+SUMIFS(出库全流程!C:C,出库全流程!A:A,"零售电商仓",出库全流程!B:B,"多形态",出库全流程!W:W,C68)</f>
        <v/>
      </c>
      <c r="I68" s="130" t="n"/>
    </row>
    <row r="69" ht="15.6" customHeight="1" s="88">
      <c r="A69" s="144" t="n"/>
      <c r="B69" s="144" t="n"/>
      <c r="C69" s="174" t="inlineStr">
        <is>
          <t>任你说</t>
        </is>
      </c>
      <c r="D69" s="147">
        <f>SUMIFS(总库存!R:R,总库存!A:A,"增城省仓",总库存!B:B,"多形态",总库存!U:U,C69)</f>
        <v/>
      </c>
      <c r="E69" s="147">
        <f>SUMIFS(总库存!E:E,总库存!A:A,"增城省仓",总库存!B:B,"多形态",总库存!U:U,C69,总库存!E:E,1)</f>
        <v/>
      </c>
      <c r="F69" s="147">
        <f>SUMIFS(收货记录查询!Y:Y,收货记录查询!A:A,"增城省仓",收货记录查询!B:B,"多形态",收货记录查询!M:M,C69,收货记录查询!C:C,$A$1)</f>
        <v/>
      </c>
      <c r="G69" s="130" t="n"/>
      <c r="H69" s="147">
        <f>SUMIFS(出库全流程!C:C,出库全流程!A:A,"增城省仓",出库全流程!B:B,"多形态",出库全流程!W:W,C69)+SUMIFS(出库全流程!C:C,出库全流程!A:A,"零售电商仓",出库全流程!B:B,"多形态",出库全流程!W:W,C69)</f>
        <v/>
      </c>
      <c r="I69" s="130" t="n"/>
    </row>
    <row r="70" ht="15.6" customHeight="1" s="88">
      <c r="A70" s="144" t="n"/>
      <c r="B70" s="144" t="n"/>
      <c r="C70" s="174" t="inlineStr">
        <is>
          <t>小度在家</t>
        </is>
      </c>
      <c r="D70" s="147">
        <f>SUMIFS(总库存!R:R,总库存!A:A,"增城省仓",总库存!B:B,"多形态",总库存!U:U,C70)</f>
        <v/>
      </c>
      <c r="E70" s="147">
        <f>SUMIFS(总库存!E:E,总库存!A:A,"增城省仓",总库存!B:B,"多形态",总库存!U:U,C70,总库存!E:E,1)</f>
        <v/>
      </c>
      <c r="F70" s="147">
        <f>SUMIFS(收货记录查询!Y:Y,收货记录查询!A:A,"增城省仓",收货记录查询!B:B,"多形态",收货记录查询!M:M,C70,收货记录查询!C:C,$A$1)</f>
        <v/>
      </c>
      <c r="G70" s="130" t="n"/>
      <c r="H70" s="147">
        <f>SUMIFS(出库全流程!C:C,出库全流程!A:A,"增城省仓",出库全流程!B:B,"多形态",出库全流程!W:W,C70)+SUMIFS(出库全流程!C:C,出库全流程!A:A,"零售电商仓",出库全流程!B:B,"多形态",出库全流程!W:W,C70)</f>
        <v/>
      </c>
      <c r="I70" s="130" t="n"/>
    </row>
    <row r="71" ht="15.6" customHeight="1" s="88">
      <c r="A71" s="144" t="n"/>
      <c r="B71" s="144" t="n"/>
      <c r="C71" s="67" t="inlineStr">
        <is>
          <t>锐捷网络</t>
        </is>
      </c>
      <c r="D71" s="147">
        <f>SUMIFS(总库存!R:R,总库存!A:A,"增城省仓",总库存!B:B,"多形态",总库存!U:U,C71)</f>
        <v/>
      </c>
      <c r="E71" s="147">
        <f>SUMIFS(总库存!E:E,总库存!A:A,"增城省仓",总库存!B:B,"多形态",总库存!U:U,C71,总库存!E:E,1)</f>
        <v/>
      </c>
      <c r="F71" s="147">
        <f>SUMIFS(收货记录查询!Y:Y,收货记录查询!A:A,"增城省仓",收货记录查询!B:B,"多形态",收货记录查询!M:M,C71,收货记录查询!C:C,$A$1)</f>
        <v/>
      </c>
      <c r="G71" s="130" t="n"/>
      <c r="H71" s="147">
        <f>SUMIFS(出库全流程!C:C,出库全流程!A:A,"增城省仓",出库全流程!B:B,"多形态",出库全流程!W:W,C71)+SUMIFS(出库全流程!C:C,出库全流程!A:A,"零售电商仓",出库全流程!B:B,"多形态",出库全流程!W:W,C71)</f>
        <v/>
      </c>
      <c r="I71" s="130" t="n"/>
    </row>
    <row r="72" ht="15.6" customHeight="1" s="88">
      <c r="A72" s="144" t="n"/>
      <c r="B72" s="144" t="n"/>
      <c r="C72" s="174" t="inlineStr">
        <is>
          <t>麦瑞克</t>
        </is>
      </c>
      <c r="D72" s="147">
        <f>SUMIFS(总库存!R:R,总库存!A:A,"增城省仓",总库存!B:B,"多形态",总库存!U:U,C72)</f>
        <v/>
      </c>
      <c r="E72" s="147">
        <f>SUMIFS(总库存!E:E,总库存!A:A,"增城省仓",总库存!B:B,"多形态",总库存!U:U,C72,总库存!E:E,1)</f>
        <v/>
      </c>
      <c r="F72" s="147">
        <f>SUMIFS(收货记录查询!Y:Y,收货记录查询!A:A,"增城省仓",收货记录查询!B:B,"多形态",收货记录查询!M:M,C72,收货记录查询!C:C,$A$1)</f>
        <v/>
      </c>
      <c r="G72" s="130" t="n"/>
      <c r="H72" s="147">
        <f>SUMIFS(出库全流程!C:C,出库全流程!A:A,"增城省仓",出库全流程!B:B,"多形态",出库全流程!W:W,C72)+SUMIFS(出库全流程!C:C,出库全流程!A:A,"零售电商仓",出库全流程!B:B,"多形态",出库全流程!W:W,C72)</f>
        <v/>
      </c>
      <c r="I72" s="130" t="n"/>
    </row>
    <row r="73" ht="15.6" customHeight="1" s="88">
      <c r="A73" s="144" t="n"/>
      <c r="B73" s="144" t="n"/>
      <c r="C73" s="174" t="inlineStr">
        <is>
          <t>博菲科</t>
        </is>
      </c>
      <c r="D73" s="147">
        <f>SUMIFS(总库存!R:R,总库存!A:A,"增城省仓",总库存!B:B,"多形态",总库存!U:U,C73)</f>
        <v/>
      </c>
      <c r="E73" s="147">
        <f>SUMIFS(总库存!E:E,总库存!A:A,"增城省仓",总库存!B:B,"多形态",总库存!U:U,C73,总库存!E:E,1)</f>
        <v/>
      </c>
      <c r="F73" s="147">
        <f>SUMIFS(收货记录查询!Y:Y,收货记录查询!A:A,"增城省仓",收货记录查询!B:B,"多形态",收货记录查询!M:M,C73,收货记录查询!C:C,$A$1)</f>
        <v/>
      </c>
      <c r="G73" s="130" t="n"/>
      <c r="H73" s="147">
        <f>SUMIFS(出库全流程!C:C,出库全流程!A:A,"增城省仓",出库全流程!B:B,"多形态",出库全流程!W:W,C73)+SUMIFS(出库全流程!C:C,出库全流程!A:A,"零售电商仓",出库全流程!B:B,"多形态",出库全流程!W:W,C73)</f>
        <v/>
      </c>
      <c r="I73" s="130" t="n"/>
    </row>
    <row r="74" ht="15.6" customHeight="1" s="88">
      <c r="A74" s="144" t="n"/>
      <c r="B74" s="144" t="n"/>
      <c r="C74" s="67" t="inlineStr">
        <is>
          <t>德施曼</t>
        </is>
      </c>
      <c r="D74" s="147">
        <f>SUMIFS(总库存!R:R,总库存!A:A,"增城省仓",总库存!B:B,"多形态",总库存!U:U,C74)</f>
        <v/>
      </c>
      <c r="E74" s="147">
        <f>SUMIFS(总库存!E:E,总库存!A:A,"增城省仓",总库存!B:B,"多形态",总库存!U:U,C74,总库存!E:E,1)</f>
        <v/>
      </c>
      <c r="F74" s="147">
        <f>SUMIFS(收货记录查询!Y:Y,收货记录查询!A:A,"增城省仓",收货记录查询!B:B,"多形态",收货记录查询!M:M,C74,收货记录查询!C:C,$A$1)</f>
        <v/>
      </c>
      <c r="G74" s="130" t="n"/>
      <c r="H74" s="147">
        <f>SUMIFS(出库全流程!C:C,出库全流程!A:A,"增城省仓",出库全流程!B:B,"多形态",出库全流程!W:W,C74)+SUMIFS(出库全流程!C:C,出库全流程!A:A,"零售电商仓",出库全流程!B:B,"多形态",出库全流程!W:W,C74)</f>
        <v/>
      </c>
      <c r="I74" s="130" t="n"/>
    </row>
    <row r="75" ht="15.6" customHeight="1" s="88">
      <c r="A75" s="144" t="n"/>
      <c r="B75" s="144" t="n"/>
      <c r="C75" s="174" t="inlineStr">
        <is>
          <t>泰比特</t>
        </is>
      </c>
      <c r="D75" s="147">
        <f>SUMIFS(总库存!R:R,总库存!A:A,"增城省仓",总库存!B:B,"多形态",总库存!U:U,C75)</f>
        <v/>
      </c>
      <c r="E75" s="147">
        <f>SUMIFS(总库存!E:E,总库存!A:A,"增城省仓",总库存!B:B,"多形态",总库存!U:U,C75,总库存!E:E,1)</f>
        <v/>
      </c>
      <c r="F75" s="147">
        <f>SUMIFS(收货记录查询!Y:Y,收货记录查询!A:A,"增城省仓",收货记录查询!B:B,"多形态",收货记录查询!M:M,C75,收货记录查询!C:C,$A$1)</f>
        <v/>
      </c>
      <c r="G75" s="130" t="n"/>
      <c r="H75" s="147">
        <f>SUMIFS(出库全流程!C:C,出库全流程!A:A,"增城省仓",出库全流程!B:B,"多形态",出库全流程!W:W,C75)+SUMIFS(出库全流程!C:C,出库全流程!A:A,"零售电商仓",出库全流程!B:B,"多形态",出库全流程!W:W,C75)</f>
        <v/>
      </c>
      <c r="I75" s="130" t="n"/>
    </row>
    <row r="76" ht="15.6" customHeight="1" s="88">
      <c r="A76" s="144" t="n"/>
      <c r="B76" s="144" t="n"/>
      <c r="C76" s="174" t="inlineStr">
        <is>
          <t>启明星辰</t>
        </is>
      </c>
      <c r="D76" s="147">
        <f>SUMIFS(总库存!R:R,总库存!A:A,"增城省仓",总库存!B:B,"多形态",总库存!U:U,C76)</f>
        <v/>
      </c>
      <c r="E76" s="147">
        <f>SUMIFS(总库存!E:E,总库存!A:A,"增城省仓",总库存!B:B,"多形态",总库存!U:U,C76,总库存!E:E,1)</f>
        <v/>
      </c>
      <c r="F76" s="147">
        <f>SUMIFS(收货记录查询!Y:Y,收货记录查询!A:A,"增城省仓",收货记录查询!B:B,"多形态",收货记录查询!M:M,C76,收货记录查询!C:C,$A$1)</f>
        <v/>
      </c>
      <c r="G76" s="130" t="n"/>
      <c r="H76" s="147">
        <f>SUMIFS(出库全流程!C:C,出库全流程!A:A,"增城省仓",出库全流程!B:B,"多形态",出库全流程!W:W,C76)+SUMIFS(出库全流程!C:C,出库全流程!A:A,"零售电商仓",出库全流程!B:B,"多形态",出库全流程!W:W,C76)</f>
        <v/>
      </c>
      <c r="I76" s="130" t="n"/>
    </row>
    <row r="77" ht="15.6" customHeight="1" s="88">
      <c r="A77" s="144" t="n"/>
      <c r="B77" s="144" t="n"/>
      <c r="C77" s="174" t="inlineStr">
        <is>
          <t>方位</t>
        </is>
      </c>
      <c r="D77" s="147">
        <f>SUMIFS(总库存!R:R,总库存!A:A,"增城省仓",总库存!B:B,"多形态",总库存!U:U,C77)</f>
        <v/>
      </c>
      <c r="E77" s="147">
        <f>SUMIFS(总库存!E:E,总库存!A:A,"增城省仓",总库存!B:B,"多形态",总库存!U:U,C77,总库存!E:E,1)</f>
        <v/>
      </c>
      <c r="F77" s="147">
        <f>SUMIFS(收货记录查询!Y:Y,收货记录查询!A:A,"增城省仓",收货记录查询!B:B,"多形态",收货记录查询!M:M,C77,收货记录查询!C:C,$A$1)</f>
        <v/>
      </c>
      <c r="G77" s="130" t="n"/>
      <c r="H77" s="147">
        <f>SUMIFS(出库全流程!C:C,出库全流程!A:A,"增城省仓",出库全流程!B:B,"多形态",出库全流程!W:W,C77)+SUMIFS(出库全流程!C:C,出库全流程!A:A,"零售电商仓",出库全流程!B:B,"多形态",出库全流程!W:W,C77)</f>
        <v/>
      </c>
      <c r="I77" s="130" t="n"/>
    </row>
    <row r="78" ht="15.6" customHeight="1" s="88">
      <c r="A78" s="144" t="n"/>
      <c r="B78" s="144" t="n"/>
      <c r="C78" s="174" t="inlineStr">
        <is>
          <t>晋声</t>
        </is>
      </c>
      <c r="D78" s="147">
        <f>SUMIFS(总库存!R:R,总库存!A:A,"增城省仓",总库存!B:B,"多形态",总库存!U:U,C78)</f>
        <v/>
      </c>
      <c r="E78" s="147">
        <f>SUMIFS(总库存!E:E,总库存!A:A,"增城省仓",总库存!B:B,"多形态",总库存!U:U,C78,总库存!E:E,1)</f>
        <v/>
      </c>
      <c r="F78" s="147">
        <f>SUMIFS(收货记录查询!Y:Y,收货记录查询!A:A,"增城省仓",收货记录查询!B:B,"多形态",收货记录查询!M:M,C78,收货记录查询!C:C,$A$1)</f>
        <v/>
      </c>
      <c r="G78" s="130" t="n"/>
      <c r="H78" s="147">
        <f>SUMIFS(出库全流程!C:C,出库全流程!A:A,"增城省仓",出库全流程!B:B,"多形态",出库全流程!W:W,C78)+SUMIFS(出库全流程!C:C,出库全流程!A:A,"零售电商仓",出库全流程!B:B,"多形态",出库全流程!W:W,C78)</f>
        <v/>
      </c>
      <c r="I78" s="130" t="n"/>
    </row>
    <row r="79" ht="15.6" customHeight="1" s="88">
      <c r="A79" s="144" t="n"/>
      <c r="B79" s="144" t="n"/>
      <c r="C79" s="174" t="inlineStr">
        <is>
          <t>奥极</t>
        </is>
      </c>
      <c r="D79" s="147">
        <f>SUMIFS(总库存!R:R,总库存!A:A,"增城省仓",总库存!B:B,"多形态",总库存!U:U,C79)</f>
        <v/>
      </c>
      <c r="E79" s="147">
        <f>SUMIFS(总库存!E:E,总库存!A:A,"增城省仓",总库存!B:B,"多形态",总库存!U:U,C79,总库存!E:E,1)</f>
        <v/>
      </c>
      <c r="F79" s="147">
        <f>SUMIFS(收货记录查询!Y:Y,收货记录查询!A:A,"增城省仓",收货记录查询!B:B,"多形态",收货记录查询!M:M,C79,收货记录查询!C:C,$A$1)</f>
        <v/>
      </c>
      <c r="G79" s="130" t="n"/>
      <c r="H79" s="147">
        <f>SUMIFS(出库全流程!C:C,出库全流程!A:A,"增城省仓",出库全流程!B:B,"多形态",出库全流程!W:W,C79)+SUMIFS(出库全流程!C:C,出库全流程!A:A,"零售电商仓",出库全流程!B:B,"多形态",出库全流程!W:W,C79)</f>
        <v/>
      </c>
      <c r="I79" s="130" t="n"/>
    </row>
    <row r="80" ht="15.6" customHeight="1" s="88">
      <c r="A80" s="144" t="n"/>
      <c r="B80" s="144" t="n"/>
      <c r="C80" s="174" t="inlineStr">
        <is>
          <t>希沃</t>
        </is>
      </c>
      <c r="D80" s="147">
        <f>SUMIFS(总库存!R:R,总库存!A:A,"增城省仓",总库存!B:B,"多形态",总库存!U:U,C80)</f>
        <v/>
      </c>
      <c r="E80" s="147">
        <f>SUMIFS(总库存!E:E,总库存!A:A,"增城省仓",总库存!B:B,"多形态",总库存!U:U,C80,总库存!E:E,1)</f>
        <v/>
      </c>
      <c r="F80" s="147">
        <f>SUMIFS(收货记录查询!Y:Y,收货记录查询!A:A,"增城省仓",收货记录查询!B:B,"多形态",收货记录查询!M:M,C80,收货记录查询!C:C,$A$1)</f>
        <v/>
      </c>
      <c r="G80" s="130" t="n"/>
      <c r="H80" s="147">
        <f>SUMIFS(出库全流程!C:C,出库全流程!A:A,"增城省仓",出库全流程!B:B,"多形态",出库全流程!W:W,C80)+SUMIFS(出库全流程!C:C,出库全流程!A:A,"零售电商仓",出库全流程!B:B,"多形态",出库全流程!W:W,C80)</f>
        <v/>
      </c>
      <c r="I80" s="130" t="n"/>
    </row>
    <row r="81" ht="15.6" customHeight="1" s="88">
      <c r="A81" s="144" t="n"/>
      <c r="B81" s="144" t="n"/>
      <c r="C81" s="174" t="inlineStr">
        <is>
          <t>若琪</t>
        </is>
      </c>
      <c r="D81" s="147">
        <f>SUMIFS(总库存!R:R,总库存!A:A,"增城省仓",总库存!B:B,"多形态",总库存!U:U,C81)</f>
        <v/>
      </c>
      <c r="E81" s="147">
        <f>SUMIFS(总库存!E:E,总库存!A:A,"增城省仓",总库存!B:B,"多形态",总库存!U:U,C81,总库存!E:E,1)</f>
        <v/>
      </c>
      <c r="F81" s="147">
        <f>SUMIFS(收货记录查询!Y:Y,收货记录查询!A:A,"增城省仓",收货记录查询!B:B,"多形态",收货记录查询!M:M,C81,收货记录查询!C:C,$A$1)</f>
        <v/>
      </c>
      <c r="G81" s="130" t="n"/>
      <c r="H81" s="147">
        <f>SUMIFS(出库全流程!C:C,出库全流程!A:A,"增城省仓",出库全流程!B:B,"多形态",出库全流程!W:W,C81)+SUMIFS(出库全流程!C:C,出库全流程!A:A,"零售电商仓",出库全流程!B:B,"多形态",出库全流程!W:W,C81)</f>
        <v/>
      </c>
      <c r="I81" s="130" t="n"/>
    </row>
    <row r="82" hidden="1" ht="15.6" customHeight="1" s="88">
      <c r="A82" s="144" t="n"/>
      <c r="B82" s="144" t="n"/>
      <c r="C82" s="174" t="inlineStr">
        <is>
          <t>沛喆</t>
        </is>
      </c>
      <c r="D82" s="147">
        <f>SUMIFS(总库存!R:R,总库存!A:A,"增城省仓",总库存!B:B,"多形态",总库存!U:U,C82)</f>
        <v/>
      </c>
      <c r="E82" s="147">
        <f>SUMIFS(总库存!E:E,总库存!A:A,"增城省仓",总库存!B:B,"多形态",总库存!U:U,C82,总库存!E:E,1)</f>
        <v/>
      </c>
      <c r="F82" s="147">
        <f>SUMIFS(收货记录查询!Y:Y,收货记录查询!A:A,"增城省仓",收货记录查询!B:B,"多形态",收货记录查询!M:M,C82,收货记录查询!C:C,$A$1)</f>
        <v/>
      </c>
      <c r="G82" s="130" t="n"/>
      <c r="H82" s="147">
        <f>SUMIFS(出库全流程!C:C,出库全流程!A:A,"增城省仓",出库全流程!B:B,"多形态",出库全流程!W:W,C82)+SUMIFS(出库全流程!C:C,出库全流程!A:A,"零售电商仓",出库全流程!B:B,"多形态",出库全流程!W:W,C82)</f>
        <v/>
      </c>
      <c r="I82" s="130" t="n"/>
    </row>
    <row r="83" ht="15.6" customHeight="1" s="88">
      <c r="A83" s="144" t="n"/>
      <c r="B83" s="144" t="n"/>
      <c r="C83" s="174" t="inlineStr">
        <is>
          <t>SKG</t>
        </is>
      </c>
      <c r="D83" s="147">
        <f>SUMIFS(总库存!R:R,总库存!A:A,"增城省仓",总库存!B:B,"多形态",总库存!U:U,C83)</f>
        <v/>
      </c>
      <c r="E83" s="147">
        <f>SUMIFS(总库存!E:E,总库存!A:A,"增城省仓",总库存!B:B,"多形态",总库存!U:U,C83,总库存!E:E,1)</f>
        <v/>
      </c>
      <c r="F83" s="147">
        <f>SUMIFS(收货记录查询!Y:Y,收货记录查询!A:A,"增城省仓",收货记录查询!B:B,"多形态",收货记录查询!M:M,C83,收货记录查询!C:C,$A$1)</f>
        <v/>
      </c>
      <c r="G83" s="130" t="n"/>
      <c r="H83" s="147">
        <f>SUMIFS(出库全流程!C:C,出库全流程!A:A,"增城省仓",出库全流程!B:B,"多形态",出库全流程!W:W,C83)+SUMIFS(出库全流程!C:C,出库全流程!A:A,"零售电商仓",出库全流程!B:B,"多形态",出库全流程!W:W,C83)</f>
        <v/>
      </c>
      <c r="I83" s="130" t="n"/>
    </row>
    <row r="84" ht="15.6" customHeight="1" s="88">
      <c r="A84" s="144" t="n"/>
      <c r="B84" s="144" t="n"/>
      <c r="C84" s="174" t="inlineStr">
        <is>
          <t>浪潮</t>
        </is>
      </c>
      <c r="D84" s="147">
        <f>SUMIFS(总库存!R:R,总库存!A:A,"增城省仓",总库存!B:B,"多形态",总库存!U:U,C84)</f>
        <v/>
      </c>
      <c r="E84" s="147">
        <f>SUMIFS(总库存!E:E,总库存!A:A,"增城省仓",总库存!B:B,"多形态",总库存!U:U,C84,总库存!E:E,1)</f>
        <v/>
      </c>
      <c r="F84" s="147">
        <f>SUMIFS(收货记录查询!Y:Y,收货记录查询!A:A,"增城省仓",收货记录查询!B:B,"多形态",收货记录查询!M:M,C84,收货记录查询!C:C,$A$1)</f>
        <v/>
      </c>
      <c r="G84" s="130" t="n"/>
      <c r="H84" s="147">
        <f>SUMIFS(出库全流程!C:C,出库全流程!A:A,"增城省仓",出库全流程!B:B,"多形态",出库全流程!W:W,C84)+SUMIFS(出库全流程!C:C,出库全流程!A:A,"零售电商仓",出库全流程!B:B,"多形态",出库全流程!W:W,C84)</f>
        <v/>
      </c>
      <c r="I84" s="130" t="n"/>
    </row>
    <row r="85" ht="15.6" customHeight="1" s="88">
      <c r="A85" s="144" t="n"/>
      <c r="B85" s="144" t="n"/>
      <c r="C85" s="174" t="inlineStr">
        <is>
          <t>友宏</t>
        </is>
      </c>
      <c r="D85" s="147">
        <f>SUMIFS(总库存!R:R,总库存!A:A,"增城省仓",总库存!B:B,"多形态",总库存!U:U,C85)</f>
        <v/>
      </c>
      <c r="E85" s="147">
        <f>SUMIFS(总库存!E:E,总库存!A:A,"增城省仓",总库存!B:B,"多形态",总库存!U:U,C85,总库存!E:E,1)</f>
        <v/>
      </c>
      <c r="F85" s="147">
        <f>SUMIFS(收货记录查询!Y:Y,收货记录查询!A:A,"增城省仓",收货记录查询!B:B,"多形态",收货记录查询!M:M,C85,收货记录查询!C:C,$A$1)</f>
        <v/>
      </c>
      <c r="G85" s="130" t="n"/>
      <c r="H85" s="147">
        <f>SUMIFS(出库全流程!C:C,出库全流程!A:A,"增城省仓",出库全流程!B:B,"多形态",出库全流程!W:W,C85)+SUMIFS(出库全流程!C:C,出库全流程!A:A,"零售电商仓",出库全流程!B:B,"多形态",出库全流程!W:W,C85)</f>
        <v/>
      </c>
      <c r="I85" s="130" t="n"/>
    </row>
    <row r="86" ht="15" customHeight="1" s="88">
      <c r="A86" s="144" t="n"/>
      <c r="B86" s="144" t="n"/>
      <c r="C86" s="6" t="inlineStr">
        <is>
          <t>繁星智算</t>
        </is>
      </c>
      <c r="D86" s="147">
        <f>SUMIFS(总库存!R:R,总库存!A:A,"增城省仓",总库存!B:B,"多形态",总库存!U:U,C86)</f>
        <v/>
      </c>
      <c r="E86" s="147">
        <f>SUMIFS(总库存!E:E,总库存!A:A,"增城省仓",总库存!B:B,"多形态",总库存!U:U,C86,总库存!E:E,1)</f>
        <v/>
      </c>
      <c r="F86" s="147">
        <f>SUMIFS(收货记录查询!Y:Y,收货记录查询!A:A,"增城省仓",收货记录查询!B:B,"多形态",收货记录查询!M:M,C86,收货记录查询!C:C,$A$1)</f>
        <v/>
      </c>
      <c r="G86" s="130" t="n"/>
      <c r="H86" s="147">
        <f>SUMIFS(出库全流程!C:C,出库全流程!A:A,"增城省仓",出库全流程!B:B,"多形态",出库全流程!W:W,C86)+SUMIFS(出库全流程!C:C,出库全流程!A:A,"零售电商仓",出库全流程!B:B,"多形态",出库全流程!W:W,C86)</f>
        <v/>
      </c>
      <c r="I86" s="130" t="n"/>
    </row>
    <row r="87" hidden="1" ht="15.6" customHeight="1" s="88">
      <c r="A87" s="144" t="n"/>
      <c r="B87" s="144" t="n"/>
      <c r="C87" s="174" t="inlineStr">
        <is>
          <t>云智谷</t>
        </is>
      </c>
      <c r="D87" s="147">
        <f>SUMIFS(总库存!R:R,总库存!A:A,"增城省仓",总库存!B:B,"多形态",总库存!U:U,C87)</f>
        <v/>
      </c>
      <c r="E87" s="147">
        <f>SUMIFS(总库存!E:E,总库存!A:A,"增城省仓",总库存!B:B,"多形态",总库存!U:U,C87,总库存!E:E,1)</f>
        <v/>
      </c>
      <c r="F87" s="147">
        <f>SUMIFS(收货记录查询!Y:Y,收货记录查询!A:A,"增城省仓",收货记录查询!B:B,"多形态",收货记录查询!M:M,C87,收货记录查询!C:C,$A$1)</f>
        <v/>
      </c>
      <c r="G87" s="130" t="n"/>
      <c r="H87" s="147">
        <f>SUMIFS(出库全流程!C:C,出库全流程!A:A,"增城省仓",出库全流程!B:B,"多形态",出库全流程!W:W,C87)+SUMIFS(出库全流程!C:C,出库全流程!A:A,"零售电商仓",出库全流程!B:B,"多形态",出库全流程!W:W,C87)</f>
        <v/>
      </c>
      <c r="I87" s="130" t="n"/>
    </row>
    <row r="88" ht="15.6" customHeight="1" s="88">
      <c r="A88" s="144" t="n"/>
      <c r="B88" s="144" t="n"/>
      <c r="C88" s="174" t="inlineStr">
        <is>
          <t>艾德蒙</t>
        </is>
      </c>
      <c r="D88" s="147">
        <f>SUMIFS(总库存!R:R,总库存!A:A,"增城省仓",总库存!B:B,"多形态",总库存!U:U,C88)</f>
        <v/>
      </c>
      <c r="E88" s="147">
        <f>SUMIFS(总库存!E:E,总库存!A:A,"增城省仓",总库存!B:B,"多形态",总库存!U:U,C88,总库存!E:E,1)</f>
        <v/>
      </c>
      <c r="F88" s="147">
        <f>SUMIFS(收货记录查询!Y:Y,收货记录查询!A:A,"增城省仓",收货记录查询!B:B,"多形态",收货记录查询!M:M,C88,收货记录查询!C:C,$A$1)</f>
        <v/>
      </c>
      <c r="G88" s="130" t="n"/>
      <c r="H88" s="147">
        <f>SUMIFS(出库全流程!C:C,出库全流程!A:A,"增城省仓",出库全流程!B:B,"多形态",出库全流程!W:W,C88)+SUMIFS(出库全流程!C:C,出库全流程!A:A,"零售电商仓",出库全流程!B:B,"多形态",出库全流程!W:W,C88)</f>
        <v/>
      </c>
      <c r="I88" s="130" t="n"/>
    </row>
    <row r="89" ht="15.6" customHeight="1" s="88">
      <c r="A89" s="175" t="n"/>
      <c r="B89" s="161" t="n"/>
      <c r="C89" s="174" t="inlineStr">
        <is>
          <t>汤姆猫家族</t>
        </is>
      </c>
      <c r="D89" s="147">
        <f>SUMIFS(总库存!R:R,总库存!A:A,"增城省仓",总库存!B:B,"多形态",总库存!U:U,C89)</f>
        <v/>
      </c>
      <c r="E89" s="147">
        <f>SUMIFS(总库存!E:E,总库存!A:A,"增城省仓",总库存!B:B,"多形态",总库存!U:U,C89,总库存!E:E,1)</f>
        <v/>
      </c>
      <c r="F89" s="147">
        <f>SUMIFS(收货记录查询!Y:Y,收货记录查询!A:A,"增城省仓",收货记录查询!B:B,"多形态",收货记录查询!M:M,C89,收货记录查询!C:C,$A$1)</f>
        <v/>
      </c>
      <c r="G89" s="130" t="n"/>
      <c r="H89" s="147">
        <f>SUMIFS(出库全流程!C:C,出库全流程!A:A,"增城省仓",出库全流程!B:B,"多形态",出库全流程!W:W,C89)+SUMIFS(出库全流程!C:C,出库全流程!A:A,"零售电商仓",出库全流程!B:B,"多形态",出库全流程!W:W,C89)</f>
        <v/>
      </c>
      <c r="I89" s="130" t="n"/>
    </row>
    <row r="90" ht="15.6" customHeight="1" s="88">
      <c r="A90" s="175" t="n"/>
      <c r="B90" s="161" t="n"/>
      <c r="C90" s="174" t="inlineStr">
        <is>
          <t>中国移动</t>
        </is>
      </c>
      <c r="D90" s="147">
        <f>SUMIFS(总库存!R:R,总库存!A:A,"增城省仓",总库存!B:B,"多形态",总库存!U:U,C90)</f>
        <v/>
      </c>
      <c r="E90" s="147">
        <f>SUMIFS(总库存!E:E,总库存!A:A,"增城省仓",总库存!B:B,"多形态",总库存!U:U,C90,总库存!E:E,1)</f>
        <v/>
      </c>
      <c r="F90" s="147">
        <f>SUMIFS(收货记录查询!Y:Y,收货记录查询!A:A,"增城省仓",收货记录查询!B:B,"多形态",收货记录查询!M:M,C90,收货记录查询!C:C,$A$1)</f>
        <v/>
      </c>
      <c r="G90" s="130" t="n"/>
      <c r="H90" s="147">
        <f>SUMIFS(出库全流程!C:C,出库全流程!A:A,"增城省仓",出库全流程!B:B,"多形态",出库全流程!W:W,C90)+SUMIFS(出库全流程!C:C,出库全流程!A:A,"零售电商仓",出库全流程!B:B,"多形态",出库全流程!W:W,C90)</f>
        <v/>
      </c>
      <c r="I90" s="130" t="n"/>
    </row>
    <row r="91" ht="15.6" customHeight="1" s="88">
      <c r="A91" s="175" t="n"/>
      <c r="B91" s="161" t="n"/>
      <c r="C91" s="174" t="inlineStr">
        <is>
          <t>来酷</t>
        </is>
      </c>
      <c r="D91" s="147">
        <f>SUMIFS(总库存!R:R,总库存!A:A,"增城省仓",总库存!B:B,"多形态",总库存!U:U,C91)</f>
        <v/>
      </c>
      <c r="E91" s="147">
        <f>SUMIFS(总库存!E:E,总库存!A:A,"增城省仓",总库存!B:B,"多形态",总库存!U:U,C91,总库存!E:E,1)</f>
        <v/>
      </c>
      <c r="F91" s="147">
        <f>SUMIFS(收货记录查询!Y:Y,收货记录查询!A:A,"增城省仓",收货记录查询!B:B,"多形态",收货记录查询!M:M,C91,收货记录查询!C:C,$A$1)</f>
        <v/>
      </c>
      <c r="G91" s="130" t="n"/>
      <c r="H91" s="147">
        <f>SUMIFS(出库全流程!C:C,出库全流程!A:A,"增城省仓",出库全流程!B:B,"多形态",出库全流程!W:W,C91)+SUMIFS(出库全流程!C:C,出库全流程!A:A,"零售电商仓",出库全流程!B:B,"多形态",出库全流程!W:W,C91)</f>
        <v/>
      </c>
      <c r="I91" s="130" t="n"/>
    </row>
    <row r="92" ht="15.6" customHeight="1" s="88">
      <c r="A92" s="175" t="n"/>
      <c r="B92" s="161" t="n"/>
      <c r="C92" s="174" t="inlineStr">
        <is>
          <t>科大讯飞</t>
        </is>
      </c>
      <c r="D92" s="147">
        <f>SUMIFS(总库存!R:R,总库存!A:A,"增城省仓",总库存!B:B,"多形态",总库存!U:U,C92)</f>
        <v/>
      </c>
      <c r="E92" s="147">
        <f>SUMIFS(总库存!E:E,总库存!A:A,"增城省仓",总库存!B:B,"多形态",总库存!U:U,C92,总库存!E:E,1)</f>
        <v/>
      </c>
      <c r="F92" s="147">
        <f>SUMIFS(收货记录查询!Y:Y,收货记录查询!A:A,"增城省仓",收货记录查询!B:B,"多形态",收货记录查询!M:M,C92,收货记录查询!C:C,$A$1)</f>
        <v/>
      </c>
      <c r="G92" s="130" t="n"/>
      <c r="H92" s="147">
        <f>SUMIFS(出库全流程!C:C,出库全流程!A:A,"增城省仓",出库全流程!B:B,"多形态",出库全流程!W:W,C92)+SUMIFS(出库全流程!C:C,出库全流程!A:A,"零售电商仓",出库全流程!B:B,"多形态",出库全流程!W:W,C92)</f>
        <v/>
      </c>
      <c r="I92" s="130" t="n"/>
    </row>
    <row r="93" ht="15.6" customHeight="1" s="88">
      <c r="A93" s="175" t="n"/>
      <c r="B93" s="161" t="n"/>
      <c r="C93" s="174" t="inlineStr">
        <is>
          <t>兆能讯通</t>
        </is>
      </c>
      <c r="D93" s="147">
        <f>SUMIFS(总库存!R:R,总库存!A:A,"增城省仓",总库存!B:B,"多形态",总库存!U:U,C93)</f>
        <v/>
      </c>
      <c r="E93" s="147">
        <f>SUMIFS(总库存!E:E,总库存!A:A,"增城省仓",总库存!B:B,"多形态",总库存!U:U,C93,总库存!E:E,1)</f>
        <v/>
      </c>
      <c r="F93" s="147">
        <f>SUMIFS(收货记录查询!Y:Y,收货记录查询!A:A,"增城省仓",收货记录查询!B:B,"多形态",收货记录查询!M:M,C93,收货记录查询!C:C,$A$1)</f>
        <v/>
      </c>
      <c r="G93" s="130" t="n"/>
      <c r="H93" s="147">
        <f>SUMIFS(出库全流程!C:C,出库全流程!A:A,"增城省仓",出库全流程!B:B,"多形态",出库全流程!W:W,C93)+SUMIFS(出库全流程!C:C,出库全流程!A:A,"零售电商仓",出库全流程!B:B,"多形态",出库全流程!W:W,C93)</f>
        <v/>
      </c>
      <c r="I93" s="130" t="n"/>
    </row>
    <row r="94" ht="15.6" customHeight="1" s="88">
      <c r="A94" s="175" t="n"/>
      <c r="B94" s="161" t="n"/>
      <c r="C94" s="174" t="inlineStr">
        <is>
          <t>USMILE</t>
        </is>
      </c>
      <c r="D94" s="147">
        <f>SUMIFS(总库存!R:R,总库存!A:A,"增城省仓",总库存!B:B,"多形态",总库存!U:U,C94)</f>
        <v/>
      </c>
      <c r="E94" s="147">
        <f>SUMIFS(总库存!E:E,总库存!A:A,"增城省仓",总库存!B:B,"多形态",总库存!U:U,C94,总库存!E:E,1)</f>
        <v/>
      </c>
      <c r="F94" s="147">
        <f>SUMIFS(收货记录查询!Y:Y,收货记录查询!A:A,"增城省仓",收货记录查询!B:B,"多形态",收货记录查询!M:M,C94,收货记录查询!C:C,$A$1)</f>
        <v/>
      </c>
      <c r="G94" s="130" t="n"/>
      <c r="H94" s="147">
        <f>SUMIFS(出库全流程!C:C,出库全流程!A:A,"增城省仓",出库全流程!B:B,"多形态",出库全流程!W:W,C94)+SUMIFS(出库全流程!C:C,出库全流程!A:A,"零售电商仓",出库全流程!B:B,"多形态",出库全流程!W:W,C94)</f>
        <v/>
      </c>
      <c r="I94" s="130" t="n"/>
    </row>
    <row r="95" hidden="1" ht="15.6" customHeight="1" s="88">
      <c r="A95" s="175" t="n"/>
      <c r="B95" s="161" t="n"/>
      <c r="C95" s="174" t="inlineStr">
        <is>
          <t>通则康威</t>
        </is>
      </c>
      <c r="D95" s="147">
        <f>SUMIFS(总库存!R:R,总库存!A:A,"增城省仓",总库存!B:B,"多形态",总库存!U:U,C95)</f>
        <v/>
      </c>
      <c r="E95" s="147">
        <f>SUMIFS(总库存!E:E,总库存!A:A,"增城省仓",总库存!B:B,"多形态",总库存!U:U,C95,总库存!E:E,1)</f>
        <v/>
      </c>
      <c r="F95" s="147">
        <f>SUMIFS(收货记录查询!Y:Y,收货记录查询!A:A,"增城省仓",收货记录查询!B:B,"多形态",收货记录查询!M:M,C95,收货记录查询!C:C,$A$1)</f>
        <v/>
      </c>
      <c r="G95" s="130" t="n"/>
      <c r="H95" s="147">
        <f>SUMIFS(出库全流程!C:C,出库全流程!A:A,"增城省仓",出库全流程!B:B,"多形态",出库全流程!W:W,C95)+SUMIFS(出库全流程!C:C,出库全流程!A:A,"零售电商仓",出库全流程!B:B,"多形态",出库全流程!W:W,C95)</f>
        <v/>
      </c>
      <c r="I95" s="130" t="n"/>
    </row>
    <row r="96" ht="15.6" customHeight="1" s="88">
      <c r="A96" s="175" t="n"/>
      <c r="B96" s="161" t="n"/>
      <c r="C96" s="174" t="inlineStr">
        <is>
          <t>卡尔</t>
        </is>
      </c>
      <c r="D96" s="147">
        <f>SUMIFS(总库存!R:R,总库存!A:A,"增城省仓",总库存!B:B,"多形态",总库存!U:U,C96)</f>
        <v/>
      </c>
      <c r="E96" s="147">
        <f>SUMIFS(总库存!E:E,总库存!A:A,"增城省仓",总库存!B:B,"多形态",总库存!U:U,C96,总库存!E:E,1)</f>
        <v/>
      </c>
      <c r="F96" s="147">
        <f>SUMIFS(收货记录查询!Y:Y,收货记录查询!A:A,"增城省仓",收货记录查询!B:B,"多形态",收货记录查询!M:M,C96,收货记录查询!C:C,$A$1)</f>
        <v/>
      </c>
      <c r="G96" s="130" t="n"/>
      <c r="H96" s="147">
        <f>SUMIFS(出库全流程!C:C,出库全流程!A:A,"增城省仓",出库全流程!B:B,"多形态",出库全流程!W:W,C96)+SUMIFS(出库全流程!C:C,出库全流程!A:A,"零售电商仓",出库全流程!B:B,"多形态",出库全流程!W:W,C96)</f>
        <v/>
      </c>
      <c r="I96" s="130" t="n"/>
    </row>
    <row r="97" ht="15.6" customHeight="1" s="88">
      <c r="A97" s="175" t="n"/>
      <c r="B97" s="161" t="n"/>
      <c r="C97" s="174" t="inlineStr">
        <is>
          <t>可孚</t>
        </is>
      </c>
      <c r="D97" s="147">
        <f>SUMIFS(总库存!R:R,总库存!A:A,"增城省仓",总库存!B:B,"多形态",总库存!U:U,C97)</f>
        <v/>
      </c>
      <c r="E97" s="147">
        <f>SUMIFS(总库存!E:E,总库存!A:A,"增城省仓",总库存!B:B,"多形态",总库存!U:U,C97,总库存!E:E,1)</f>
        <v/>
      </c>
      <c r="F97" s="147">
        <f>SUMIFS(收货记录查询!Y:Y,收货记录查询!A:A,"增城省仓",收货记录查询!B:B,"多形态",收货记录查询!M:M,C97,收货记录查询!C:C,$A$1)</f>
        <v/>
      </c>
      <c r="G97" s="130" t="n"/>
      <c r="H97" s="147">
        <f>SUMIFS(出库全流程!C:C,出库全流程!A:A,"增城省仓",出库全流程!B:B,"多形态",出库全流程!W:W,C97)+SUMIFS(出库全流程!C:C,出库全流程!A:A,"零售电商仓",出库全流程!B:B,"多形态",出库全流程!W:W,C97)</f>
        <v/>
      </c>
      <c r="I97" s="130" t="n"/>
    </row>
    <row r="98" ht="15.6" customHeight="1" s="88">
      <c r="A98" s="175" t="n"/>
      <c r="B98" s="161" t="n"/>
      <c r="C98" s="174" t="inlineStr">
        <is>
          <t>海尔</t>
        </is>
      </c>
      <c r="D98" s="147">
        <f>SUMIFS(总库存!R:R,总库存!A:A,"增城省仓",总库存!B:B,"多形态",总库存!U:U,C98)</f>
        <v/>
      </c>
      <c r="E98" s="147">
        <f>SUMIFS(总库存!E:E,总库存!A:A,"增城省仓",总库存!B:B,"多形态",总库存!U:U,C98,总库存!E:E,1)</f>
        <v/>
      </c>
      <c r="F98" s="147">
        <f>SUMIFS(收货记录查询!Y:Y,收货记录查询!A:A,"增城省仓",收货记录查询!B:B,"多形态",收货记录查询!M:M,C98,收货记录查询!C:C,$A$1)</f>
        <v/>
      </c>
      <c r="G98" s="130" t="n"/>
      <c r="H98" s="147">
        <f>SUMIFS(出库全流程!C:C,出库全流程!A:A,"增城省仓",出库全流程!B:B,"多形态",出库全流程!W:W,C98)+SUMIFS(出库全流程!C:C,出库全流程!A:A,"零售电商仓",出库全流程!B:B,"多形态",出库全流程!W:W,C98)</f>
        <v/>
      </c>
      <c r="I98" s="130" t="n"/>
    </row>
    <row r="99" ht="15.6" customHeight="1" s="88">
      <c r="A99" s="175" t="n"/>
      <c r="B99" s="161" t="n"/>
      <c r="C99" s="174" t="inlineStr">
        <is>
          <t>攀高</t>
        </is>
      </c>
      <c r="D99" s="147">
        <f>SUMIFS(总库存!R:R,总库存!A:A,"增城省仓",总库存!B:B,"多形态",总库存!U:U,C99)</f>
        <v/>
      </c>
      <c r="E99" s="147">
        <f>SUMIFS(总库存!E:E,总库存!A:A,"增城省仓",总库存!B:B,"多形态",总库存!U:U,C99,总库存!E:E,1)</f>
        <v/>
      </c>
      <c r="F99" s="147">
        <f>SUMIFS(收货记录查询!Y:Y,收货记录查询!A:A,"增城省仓",收货记录查询!B:B,"多形态",收货记录查询!M:M,C99,收货记录查询!C:C,$A$1)</f>
        <v/>
      </c>
      <c r="G99" s="130" t="n"/>
      <c r="H99" s="147">
        <f>SUMIFS(出库全流程!C:C,出库全流程!A:A,"增城省仓",出库全流程!B:B,"多形态",出库全流程!W:W,C99)+SUMIFS(出库全流程!C:C,出库全流程!A:A,"零售电商仓",出库全流程!B:B,"多形态",出库全流程!W:W,C99)</f>
        <v/>
      </c>
      <c r="I99" s="130" t="n"/>
    </row>
    <row r="100" hidden="1" ht="15.6" customHeight="1" s="88">
      <c r="A100" s="175" t="n"/>
      <c r="B100" s="161" t="n"/>
      <c r="C100" s="174" t="inlineStr">
        <is>
          <t>步步高</t>
        </is>
      </c>
      <c r="D100" s="147">
        <f>SUMIFS(总库存!R:R,总库存!A:A,"增城省仓",总库存!B:B,"多形态",总库存!U:U,C100)</f>
        <v/>
      </c>
      <c r="E100" s="147">
        <f>SUMIFS(总库存!E:E,总库存!A:A,"增城省仓",总库存!B:B,"多形态",总库存!U:U,C100,总库存!E:E,1)</f>
        <v/>
      </c>
      <c r="F100" s="147">
        <f>SUMIFS(收货记录查询!Y:Y,收货记录查询!A:A,"增城省仓",收货记录查询!B:B,"多形态",收货记录查询!M:M,C100,收货记录查询!C:C,$A$1)</f>
        <v/>
      </c>
      <c r="G100" s="130" t="n"/>
      <c r="H100" s="147">
        <f>SUMIFS(出库全流程!C:C,出库全流程!A:A,"增城省仓",出库全流程!B:B,"多形态",出库全流程!W:W,C100)+SUMIFS(出库全流程!C:C,出库全流程!A:A,"零售电商仓",出库全流程!B:B,"多形态",出库全流程!W:W,C100)</f>
        <v/>
      </c>
      <c r="I100" s="130" t="n"/>
    </row>
    <row r="101" ht="15.6" customHeight="1" s="88">
      <c r="A101" s="175" t="n"/>
      <c r="B101" s="161" t="n"/>
      <c r="C101" s="174" t="inlineStr">
        <is>
          <t>长城</t>
        </is>
      </c>
      <c r="D101" s="147">
        <f>SUMIFS(总库存!R:R,总库存!A:A,"增城省仓",总库存!B:B,"多形态",总库存!U:U,C101)</f>
        <v/>
      </c>
      <c r="E101" s="147">
        <f>SUMIFS(总库存!E:E,总库存!A:A,"增城省仓",总库存!B:B,"多形态",总库存!U:U,C101,总库存!E:E,1)</f>
        <v/>
      </c>
      <c r="F101" s="147">
        <f>SUMIFS(收货记录查询!Y:Y,收货记录查询!A:A,"增城省仓",收货记录查询!B:B,"多形态",收货记录查询!M:M,C101,收货记录查询!C:C,$A$1)</f>
        <v/>
      </c>
      <c r="G101" s="130" t="n"/>
      <c r="H101" s="147">
        <f>SUMIFS(出库全流程!C:C,出库全流程!A:A,"增城省仓",出库全流程!B:B,"多形态",出库全流程!W:W,C101)+SUMIFS(出库全流程!C:C,出库全流程!A:A,"零售电商仓",出库全流程!B:B,"多形态",出库全流程!W:W,C101)</f>
        <v/>
      </c>
      <c r="I101" s="130" t="n"/>
    </row>
    <row r="102" hidden="1" ht="15.6" customHeight="1" s="88">
      <c r="A102" s="175" t="n"/>
      <c r="B102" s="161" t="n"/>
      <c r="C102" s="174" t="inlineStr">
        <is>
          <t>新华三技术</t>
        </is>
      </c>
      <c r="D102" s="147">
        <f>SUMIFS(总库存!R:R,总库存!A:A,"增城省仓",总库存!B:B,"多形态",总库存!U:U,C102)</f>
        <v/>
      </c>
      <c r="E102" s="147">
        <f>SUMIFS(总库存!E:E,总库存!A:A,"增城省仓",总库存!B:B,"多形态",总库存!U:U,C102,总库存!E:E,1)</f>
        <v/>
      </c>
      <c r="F102" s="147">
        <f>SUMIFS(收货记录查询!Y:Y,收货记录查询!A:A,"增城省仓",收货记录查询!B:B,"多形态",收货记录查询!M:M,C102,收货记录查询!C:C,$A$1)</f>
        <v/>
      </c>
      <c r="G102" s="130" t="n"/>
      <c r="H102" s="147">
        <f>SUMIFS(出库全流程!C:C,出库全流程!A:A,"增城省仓",出库全流程!B:B,"多形态",出库全流程!W:W,C102)+SUMIFS(出库全流程!C:C,出库全流程!A:A,"零售电商仓",出库全流程!B:B,"多形态",出库全流程!W:W,C102)</f>
        <v/>
      </c>
      <c r="I102" s="130" t="n"/>
    </row>
    <row r="103" hidden="1" ht="15.6" customHeight="1" s="88">
      <c r="A103" s="175" t="n"/>
      <c r="B103" s="161" t="n"/>
      <c r="C103" s="174" t="inlineStr">
        <is>
          <t>中景宏图</t>
        </is>
      </c>
      <c r="D103" s="147">
        <f>SUMIFS(总库存!R:R,总库存!A:A,"增城省仓",总库存!B:B,"多形态",总库存!U:U,C103)</f>
        <v/>
      </c>
      <c r="E103" s="147">
        <f>SUMIFS(总库存!E:E,总库存!A:A,"增城省仓",总库存!B:B,"多形态",总库存!U:U,C103,总库存!E:E,1)</f>
        <v/>
      </c>
      <c r="F103" s="147">
        <f>SUMIFS(收货记录查询!Y:Y,收货记录查询!A:A,"增城省仓",收货记录查询!B:B,"多形态",收货记录查询!M:M,C103,收货记录查询!C:C,$A$1)</f>
        <v/>
      </c>
      <c r="G103" s="130" t="n"/>
      <c r="H103" s="147">
        <f>SUMIFS(出库全流程!C:C,出库全流程!A:A,"增城省仓",出库全流程!B:B,"多形态",出库全流程!W:W,C103)+SUMIFS(出库全流程!C:C,出库全流程!A:A,"零售电商仓",出库全流程!B:B,"多形态",出库全流程!W:W,C103)</f>
        <v/>
      </c>
      <c r="I103" s="130" t="n"/>
    </row>
    <row r="104" ht="15.6" customHeight="1" s="88">
      <c r="A104" s="175" t="n"/>
      <c r="B104" s="161" t="n"/>
      <c r="C104" s="174" t="inlineStr">
        <is>
          <t>美的</t>
        </is>
      </c>
      <c r="D104" s="147">
        <f>SUMIFS(总库存!R:R,总库存!A:A,"增城省仓",总库存!B:B,"多形态",总库存!U:U,C104)</f>
        <v/>
      </c>
      <c r="E104" s="147">
        <f>SUMIFS(总库存!E:E,总库存!A:A,"增城省仓",总库存!B:B,"多形态",总库存!U:U,C104,总库存!E:E,1)</f>
        <v/>
      </c>
      <c r="F104" s="147">
        <f>SUMIFS(收货记录查询!Y:Y,收货记录查询!A:A,"增城省仓",收货记录查询!B:B,"多形态",收货记录查询!M:M,C104,收货记录查询!C:C,$A$1)</f>
        <v/>
      </c>
      <c r="G104" s="130" t="n"/>
      <c r="H104" s="147">
        <f>SUMIFS(出库全流程!C:C,出库全流程!A:A,"增城省仓",出库全流程!B:B,"多形态",出库全流程!W:W,C104)+SUMIFS(出库全流程!C:C,出库全流程!A:A,"零售电商仓",出库全流程!B:B,"多形态",出库全流程!W:W,C104)</f>
        <v/>
      </c>
      <c r="I104" s="130" t="n"/>
    </row>
    <row r="105" ht="15.6" customHeight="1" s="88">
      <c r="A105" s="175" t="n"/>
      <c r="B105" s="161" t="n"/>
      <c r="C105" s="174" t="inlineStr">
        <is>
          <t>BOCA</t>
        </is>
      </c>
      <c r="D105" s="147">
        <f>SUMIFS(总库存!R:R,总库存!A:A,"增城省仓",总库存!B:B,"多形态",总库存!U:U,C105)</f>
        <v/>
      </c>
      <c r="E105" s="147">
        <f>SUMIFS(总库存!E:E,总库存!A:A,"增城省仓",总库存!B:B,"多形态",总库存!U:U,C105,总库存!E:E,1)</f>
        <v/>
      </c>
      <c r="F105" s="147">
        <f>SUMIFS(收货记录查询!Y:Y,收货记录查询!A:A,"增城省仓",收货记录查询!B:B,"多形态",收货记录查询!M:M,C105,收货记录查询!C:C,$A$1)</f>
        <v/>
      </c>
      <c r="G105" s="130" t="n"/>
      <c r="H105" s="147">
        <f>SUMIFS(出库全流程!C:C,出库全流程!A:A,"增城省仓",出库全流程!B:B,"多形态",出库全流程!W:W,C105)+SUMIFS(出库全流程!C:C,出库全流程!A:A,"零售电商仓",出库全流程!B:B,"多形态",出库全流程!W:W,C105)</f>
        <v/>
      </c>
      <c r="I105" s="130" t="n"/>
    </row>
    <row r="106" ht="15.6" customHeight="1" s="88">
      <c r="A106" s="175" t="n"/>
      <c r="B106" s="161" t="n"/>
      <c r="C106" s="174" t="inlineStr">
        <is>
          <t>宇视科技</t>
        </is>
      </c>
      <c r="D106" s="147">
        <f>SUMIFS(总库存!R:R,总库存!A:A,"增城省仓",总库存!B:B,"多形态",总库存!U:U,C106)</f>
        <v/>
      </c>
      <c r="E106" s="147">
        <f>SUMIFS(总库存!E:E,总库存!A:A,"增城省仓",总库存!B:B,"多形态",总库存!U:U,C106,总库存!E:E,1)</f>
        <v/>
      </c>
      <c r="F106" s="147">
        <f>SUMIFS(收货记录查询!Y:Y,收货记录查询!A:A,"增城省仓",收货记录查询!B:B,"多形态",收货记录查询!M:M,C106,收货记录查询!C:C,$A$1)</f>
        <v/>
      </c>
      <c r="G106" s="130" t="n"/>
      <c r="H106" s="147">
        <f>SUMIFS(出库全流程!C:C,出库全流程!A:A,"增城省仓",出库全流程!B:B,"多形态",出库全流程!W:W,C106)+SUMIFS(出库全流程!C:C,出库全流程!A:A,"零售电商仓",出库全流程!B:B,"多形态",出库全流程!W:W,C106)</f>
        <v/>
      </c>
      <c r="I106" s="130" t="n"/>
    </row>
    <row r="107" ht="15.6" customHeight="1" s="88">
      <c r="A107" s="175" t="n"/>
      <c r="B107" s="161" t="n"/>
      <c r="C107" s="174" t="inlineStr">
        <is>
          <t>科达</t>
        </is>
      </c>
      <c r="D107" s="147">
        <f>SUMIFS(总库存!R:R,总库存!A:A,"增城省仓",总库存!B:B,"多形态",总库存!U:U,C107)</f>
        <v/>
      </c>
      <c r="E107" s="147">
        <f>SUMIFS(总库存!E:E,总库存!A:A,"增城省仓",总库存!B:B,"多形态",总库存!U:U,C107,总库存!E:E,1)</f>
        <v/>
      </c>
      <c r="F107" s="147">
        <f>SUMIFS(收货记录查询!Y:Y,收货记录查询!A:A,"增城省仓",收货记录查询!B:B,"多形态",收货记录查询!M:M,C107,收货记录查询!C:C,$A$1)</f>
        <v/>
      </c>
      <c r="G107" s="130" t="n"/>
      <c r="H107" s="147">
        <f>SUMIFS(出库全流程!C:C,出库全流程!A:A,"增城省仓",出库全流程!B:B,"多形态",出库全流程!W:W,C107)+SUMIFS(出库全流程!C:C,出库全流程!A:A,"零售电商仓",出库全流程!B:B,"多形态",出库全流程!W:W,C107)</f>
        <v/>
      </c>
      <c r="I107" s="130" t="n"/>
    </row>
    <row r="108" ht="15.6" customHeight="1" s="88">
      <c r="A108" s="175" t="n"/>
      <c r="B108" s="161" t="n"/>
      <c r="C108" s="174" t="inlineStr">
        <is>
          <t>作业帮</t>
        </is>
      </c>
      <c r="D108" s="147">
        <f>SUMIFS(总库存!R:R,总库存!A:A,"增城省仓",总库存!B:B,"多形态",总库存!U:U,C108)</f>
        <v/>
      </c>
      <c r="E108" s="147">
        <f>SUMIFS(总库存!E:E,总库存!A:A,"增城省仓",总库存!B:B,"多形态",总库存!U:U,C108,总库存!E:E,1)</f>
        <v/>
      </c>
      <c r="F108" s="147">
        <f>SUMIFS(收货记录查询!Y:Y,收货记录查询!A:A,"增城省仓",收货记录查询!B:B,"多形态",收货记录查询!M:M,C108,收货记录查询!C:C,$A$1)</f>
        <v/>
      </c>
      <c r="G108" s="130" t="n"/>
      <c r="H108" s="147">
        <f>SUMIFS(出库全流程!C:C,出库全流程!A:A,"增城省仓",出库全流程!B:B,"多形态",出库全流程!W:W,C108)+SUMIFS(出库全流程!C:C,出库全流程!A:A,"零售电商仓",出库全流程!B:B,"多形态",出库全流程!W:W,C108)</f>
        <v/>
      </c>
      <c r="I108" s="130" t="n"/>
    </row>
    <row r="109" ht="15.6" customHeight="1" s="88">
      <c r="A109" s="175" t="n"/>
      <c r="B109" s="161" t="n"/>
      <c r="C109" s="174" t="inlineStr">
        <is>
          <t>朝歌</t>
        </is>
      </c>
      <c r="D109" s="147">
        <f>SUMIFS(总库存!R:R,总库存!A:A,"增城省仓",总库存!B:B,"多形态",总库存!U:U,C109)</f>
        <v/>
      </c>
      <c r="E109" s="147">
        <f>SUMIFS(总库存!E:E,总库存!A:A,"增城省仓",总库存!B:B,"多形态",总库存!U:U,C109,总库存!E:E,1)</f>
        <v/>
      </c>
      <c r="F109" s="147">
        <f>SUMIFS(收货记录查询!Y:Y,收货记录查询!A:A,"增城省仓",收货记录查询!B:B,"多形态",收货记录查询!M:M,C109,收货记录查询!C:C,$A$1)</f>
        <v/>
      </c>
      <c r="G109" s="130" t="n"/>
      <c r="H109" s="147">
        <f>SUMIFS(出库全流程!C:C,出库全流程!A:A,"增城省仓",出库全流程!B:B,"多形态",出库全流程!W:W,C109)+SUMIFS(出库全流程!C:C,出库全流程!A:A,"零售电商仓",出库全流程!B:B,"多形态",出库全流程!W:W,C109)</f>
        <v/>
      </c>
      <c r="I109" s="130" t="n"/>
    </row>
    <row r="110" ht="15.6" customHeight="1" s="88">
      <c r="A110" s="175" t="n"/>
      <c r="B110" s="161" t="n"/>
      <c r="C110" s="174" t="inlineStr">
        <is>
          <t>熠邦</t>
        </is>
      </c>
      <c r="D110" s="147">
        <f>SUMIFS(总库存!R:R,总库存!A:A,"增城省仓",总库存!B:B,"多形态",总库存!U:U,C110)</f>
        <v/>
      </c>
      <c r="E110" s="147">
        <f>SUMIFS(总库存!E:E,总库存!A:A,"增城省仓",总库存!B:B,"多形态",总库存!U:U,C110,总库存!E:E,1)</f>
        <v/>
      </c>
      <c r="F110" s="147">
        <f>SUMIFS(收货记录查询!Y:Y,收货记录查询!A:A,"增城省仓",收货记录查询!B:B,"多形态",收货记录查询!M:M,C110,收货记录查询!C:C,$A$1)</f>
        <v/>
      </c>
      <c r="G110" s="130" t="n"/>
      <c r="H110" s="147">
        <f>SUMIFS(出库全流程!C:C,出库全流程!A:A,"增城省仓",出库全流程!B:B,"多形态",出库全流程!W:W,C110)+SUMIFS(出库全流程!C:C,出库全流程!A:A,"零售电商仓",出库全流程!B:B,"多形态",出库全流程!W:W,C110)</f>
        <v/>
      </c>
      <c r="I110" s="130" t="n"/>
    </row>
    <row r="111" ht="15.6" customHeight="1" s="88">
      <c r="A111" s="175" t="n"/>
      <c r="B111" s="161" t="n"/>
      <c r="C111" s="174" t="inlineStr">
        <is>
          <t>深知谱</t>
        </is>
      </c>
      <c r="D111" s="147">
        <f>SUMIFS(总库存!R:R,总库存!A:A,"增城省仓",总库存!B:B,"多形态",总库存!U:U,C111)</f>
        <v/>
      </c>
      <c r="E111" s="147">
        <f>SUMIFS(总库存!E:E,总库存!A:A,"增城省仓",总库存!B:B,"多形态",总库存!U:U,C111,总库存!E:E,1)</f>
        <v/>
      </c>
      <c r="F111" s="147">
        <f>SUMIFS(收货记录查询!Y:Y,收货记录查询!A:A,"增城省仓",收货记录查询!B:B,"多形态",收货记录查询!M:M,C111,收货记录查询!C:C,$A$1)</f>
        <v/>
      </c>
      <c r="G111" s="130" t="n"/>
      <c r="H111" s="147">
        <f>SUMIFS(出库全流程!C:C,出库全流程!A:A,"增城省仓",出库全流程!B:B,"多形态",出库全流程!W:W,C111)+SUMIFS(出库全流程!C:C,出库全流程!A:A,"零售电商仓",出库全流程!B:B,"多形态",出库全流程!W:W,C111)</f>
        <v/>
      </c>
      <c r="I111" s="130" t="n"/>
    </row>
    <row r="112" hidden="1" ht="15.6" customHeight="1" s="88">
      <c r="A112" s="175" t="n"/>
      <c r="B112" s="161" t="n"/>
      <c r="C112" s="174" t="inlineStr">
        <is>
          <t>警翼</t>
        </is>
      </c>
      <c r="D112" s="147">
        <f>SUMIFS(总库存!R:R,总库存!A:A,"增城省仓",总库存!B:B,"多形态",总库存!U:U,C112)</f>
        <v/>
      </c>
      <c r="E112" s="147">
        <f>SUMIFS(总库存!E:E,总库存!A:A,"增城省仓",总库存!B:B,"多形态",总库存!U:U,C112,总库存!E:E,1)</f>
        <v/>
      </c>
      <c r="F112" s="147">
        <f>SUMIFS(收货记录查询!Y:Y,收货记录查询!A:A,"增城省仓",收货记录查询!B:B,"多形态",收货记录查询!M:M,C112,收货记录查询!C:C,$A$1)</f>
        <v/>
      </c>
      <c r="G112" s="130" t="n"/>
      <c r="H112" s="147">
        <f>SUMIFS(出库全流程!C:C,出库全流程!A:A,"增城省仓",出库全流程!B:B,"多形态",出库全流程!W:W,C112)+SUMIFS(出库全流程!C:C,出库全流程!A:A,"零售电商仓",出库全流程!B:B,"多形态",出库全流程!W:W,C112)</f>
        <v/>
      </c>
      <c r="I112" s="130" t="n"/>
    </row>
    <row r="113" ht="15.6" customHeight="1" s="88">
      <c r="A113" s="175" t="n"/>
      <c r="B113" s="161" t="n"/>
      <c r="C113" s="174" t="inlineStr">
        <is>
          <t>荣耀亲选</t>
        </is>
      </c>
      <c r="D113" s="147">
        <f>SUMIFS(总库存!R:R,总库存!A:A,"增城省仓",总库存!B:B,"多形态",总库存!U:U,C113)</f>
        <v/>
      </c>
      <c r="E113" s="147">
        <f>SUMIFS(总库存!E:E,总库存!A:A,"增城省仓",总库存!B:B,"多形态",总库存!U:U,C113,总库存!E:E,1)</f>
        <v/>
      </c>
      <c r="F113" s="147">
        <f>SUMIFS(收货记录查询!Y:Y,收货记录查询!A:A,"增城省仓",收货记录查询!B:B,"多形态",收货记录查询!M:M,C113,收货记录查询!C:C,$A$1)</f>
        <v/>
      </c>
      <c r="G113" s="130" t="n"/>
      <c r="H113" s="147">
        <f>SUMIFS(出库全流程!C:C,出库全流程!A:A,"增城省仓",出库全流程!B:B,"多形态",出库全流程!W:W,C113)+SUMIFS(出库全流程!C:C,出库全流程!A:A,"零售电商仓",出库全流程!B:B,"多形态",出库全流程!W:W,C113)</f>
        <v/>
      </c>
      <c r="I113" s="130" t="n"/>
    </row>
    <row r="114" ht="15" customHeight="1" s="88">
      <c r="A114" s="175" t="n"/>
      <c r="B114" s="161" t="n"/>
      <c r="C114" s="174" t="inlineStr">
        <is>
          <t>鸟语花香</t>
        </is>
      </c>
      <c r="D114" s="147">
        <f>SUMIFS(总库存!R:R,总库存!A:A,"增城省仓",总库存!B:B,"多形态",总库存!U:U,C114)</f>
        <v/>
      </c>
      <c r="E114" s="147">
        <f>SUMIFS(总库存!E:E,总库存!A:A,"增城省仓",总库存!B:B,"多形态",总库存!U:U,C114,总库存!E:E,1)</f>
        <v/>
      </c>
      <c r="F114" s="147">
        <f>SUMIFS(收货记录查询!Y:Y,收货记录查询!A:A,"增城省仓",收货记录查询!B:B,"多形态",收货记录查询!M:M,C114,收货记录查询!C:C,$A$1)</f>
        <v/>
      </c>
      <c r="G114" s="130" t="n"/>
      <c r="H114" s="147">
        <f>SUMIFS(出库全流程!C:C,出库全流程!A:A,"增城省仓",出库全流程!B:B,"多形态",出库全流程!W:W,C114)+SUMIFS(出库全流程!C:C,出库全流程!A:A,"零售电商仓",出库全流程!B:B,"多形态",出库全流程!W:W,C114)</f>
        <v/>
      </c>
      <c r="I114" s="130" t="n"/>
    </row>
    <row r="115" ht="15" customHeight="1" s="88">
      <c r="A115" s="175" t="n"/>
      <c r="B115" s="161" t="n"/>
      <c r="C115" s="174" t="inlineStr">
        <is>
          <t>新华三</t>
        </is>
      </c>
      <c r="D115" s="147">
        <f>SUMIFS(总库存!R:R,总库存!A:A,"增城省仓",总库存!B:B,"多形态",总库存!U:U,C115)</f>
        <v/>
      </c>
      <c r="E115" s="147">
        <f>SUMIFS(总库存!E:E,总库存!A:A,"增城省仓",总库存!B:B,"多形态",总库存!U:U,C115,总库存!E:E,1)</f>
        <v/>
      </c>
      <c r="F115" s="147">
        <f>SUMIFS(收货记录查询!Y:Y,收货记录查询!A:A,"增城省仓",收货记录查询!B:B,"多形态",收货记录查询!M:M,C115,收货记录查询!C:C,$A$1)</f>
        <v/>
      </c>
      <c r="G115" s="130" t="n"/>
      <c r="H115" s="147">
        <f>SUMIFS(出库全流程!C:C,出库全流程!A:A,"增城省仓",出库全流程!B:B,"多形态",出库全流程!W:W,C115)+SUMIFS(出库全流程!C:C,出库全流程!A:A,"零售电商仓",出库全流程!B:B,"多形态",出库全流程!W:W,C115)</f>
        <v/>
      </c>
      <c r="I115" s="130" t="n"/>
    </row>
    <row r="116" ht="15" customHeight="1" s="88">
      <c r="A116" s="175" t="n"/>
      <c r="B116" s="161" t="n"/>
      <c r="C116" s="174" t="inlineStr">
        <is>
          <t>孝心通</t>
        </is>
      </c>
      <c r="D116" s="147">
        <f>SUMIFS(总库存!R:R,总库存!A:A,"增城省仓",总库存!B:B,"多形态",总库存!U:U,C116)</f>
        <v/>
      </c>
      <c r="E116" s="147">
        <f>SUMIFS(总库存!E:E,总库存!A:A,"增城省仓",总库存!B:B,"多形态",总库存!U:U,C116,总库存!E:E,1)</f>
        <v/>
      </c>
      <c r="F116" s="147">
        <f>SUMIFS(收货记录查询!Y:Y,收货记录查询!A:A,"增城省仓",收货记录查询!B:B,"多形态",收货记录查询!M:M,C116,收货记录查询!C:C,$A$1)</f>
        <v/>
      </c>
      <c r="G116" s="130" t="n"/>
      <c r="H116" s="147">
        <f>SUMIFS(出库全流程!C:C,出库全流程!A:A,"增城省仓",出库全流程!B:B,"多形态",出库全流程!W:W,C116)+SUMIFS(出库全流程!C:C,出库全流程!A:A,"零售电商仓",出库全流程!B:B,"多形态",出库全流程!W:W,C116)</f>
        <v/>
      </c>
      <c r="I116" s="130" t="n"/>
    </row>
    <row r="117" ht="15.6" customHeight="1" s="88">
      <c r="A117" s="175" t="n"/>
      <c r="B117" s="161" t="n"/>
      <c r="C117" s="174" t="inlineStr">
        <is>
          <t>麦乐克</t>
        </is>
      </c>
      <c r="D117" s="147">
        <f>SUMIFS(总库存!R:R,总库存!A:A,"增城省仓",总库存!B:B,"多形态",总库存!U:U,C117)</f>
        <v/>
      </c>
      <c r="E117" s="147">
        <f>SUMIFS(总库存!E:E,总库存!A:A,"增城省仓",总库存!B:B,"多形态",总库存!U:U,C117,总库存!E:E,1)</f>
        <v/>
      </c>
      <c r="F117" s="147">
        <f>SUMIFS(收货记录查询!Y:Y,收货记录查询!A:A,"增城省仓",收货记录查询!B:B,"多形态",收货记录查询!M:M,C117,收货记录查询!C:C,$A$1)</f>
        <v/>
      </c>
      <c r="G117" s="130" t="n"/>
      <c r="H117" s="147">
        <f>SUMIFS(出库全流程!C:C,出库全流程!A:A,"增城省仓",出库全流程!B:B,"多形态",出库全流程!W:W,C117)+SUMIFS(出库全流程!C:C,出库全流程!A:A,"零售电商仓",出库全流程!B:B,"多形态",出库全流程!W:W,C117)</f>
        <v/>
      </c>
      <c r="I117" s="130" t="n"/>
    </row>
    <row r="118" ht="15.6" customHeight="1" s="88">
      <c r="A118" s="175" t="n"/>
      <c r="B118" s="161" t="n"/>
      <c r="C118" s="174" t="inlineStr">
        <is>
          <t>潮流网络</t>
        </is>
      </c>
      <c r="D118" s="147">
        <f>SUMIFS(总库存!R:R,总库存!A:A,"增城省仓",总库存!B:B,"多形态",总库存!U:U,C118)</f>
        <v/>
      </c>
      <c r="E118" s="147">
        <f>SUMIFS(总库存!E:E,总库存!A:A,"增城省仓",总库存!B:B,"多形态",总库存!U:U,C118,总库存!E:E,1)</f>
        <v/>
      </c>
      <c r="F118" s="147">
        <f>SUMIFS(收货记录查询!Y:Y,收货记录查询!A:A,"增城省仓",收货记录查询!B:B,"多形态",收货记录查询!M:M,C118,收货记录查询!C:C,$A$1)</f>
        <v/>
      </c>
      <c r="G118" s="130" t="n"/>
      <c r="H118" s="147">
        <f>SUMIFS(出库全流程!C:C,出库全流程!A:A,"增城省仓",出库全流程!B:B,"多形态",出库全流程!W:W,C118)+SUMIFS(出库全流程!C:C,出库全流程!A:A,"零售电商仓",出库全流程!B:B,"多形态",出库全流程!W:W,C118)</f>
        <v/>
      </c>
      <c r="I118" s="130" t="n"/>
    </row>
    <row r="119" ht="15.6" customHeight="1" s="88">
      <c r="A119" s="175" t="n"/>
      <c r="B119" s="161" t="n"/>
      <c r="C119" s="174" t="inlineStr">
        <is>
          <t>冠捷</t>
        </is>
      </c>
      <c r="D119" s="147">
        <f>SUMIFS(总库存!R:R,总库存!A:A,"增城省仓",总库存!B:B,"多形态",总库存!U:U,C119)</f>
        <v/>
      </c>
      <c r="E119" s="147">
        <f>SUMIFS(总库存!E:E,总库存!A:A,"增城省仓",总库存!B:B,"多形态",总库存!U:U,C119,总库存!E:E,1)</f>
        <v/>
      </c>
      <c r="F119" s="147">
        <f>SUMIFS(收货记录查询!Y:Y,收货记录查询!A:A,"增城省仓",收货记录查询!B:B,"多形态",收货记录查询!M:M,C119,收货记录查询!C:C,$A$1)</f>
        <v/>
      </c>
      <c r="G119" s="130" t="n"/>
      <c r="H119" s="147">
        <f>SUMIFS(出库全流程!C:C,出库全流程!A:A,"增城省仓",出库全流程!B:B,"多形态",出库全流程!W:W,C119)+SUMIFS(出库全流程!C:C,出库全流程!A:A,"零售电商仓",出库全流程!B:B,"多形态",出库全流程!W:W,C119)</f>
        <v/>
      </c>
      <c r="I119" s="130" t="n"/>
    </row>
    <row r="120" ht="15.6" customHeight="1" s="88">
      <c r="A120" s="175" t="n"/>
      <c r="B120" s="161" t="n"/>
      <c r="C120" s="174" t="inlineStr">
        <is>
          <t>赛达科技</t>
        </is>
      </c>
      <c r="D120" s="147">
        <f>SUMIFS(总库存!R:R,总库存!A:A,"增城省仓",总库存!B:B,"多形态",总库存!U:U,C120)</f>
        <v/>
      </c>
      <c r="E120" s="147">
        <f>SUMIFS(总库存!E:E,总库存!A:A,"增城省仓",总库存!B:B,"多形态",总库存!U:U,C120,总库存!E:E,1)</f>
        <v/>
      </c>
      <c r="F120" s="147">
        <f>SUMIFS(收货记录查询!Y:Y,收货记录查询!A:A,"增城省仓",收货记录查询!B:B,"多形态",收货记录查询!M:M,C120,收货记录查询!C:C,$A$1)</f>
        <v/>
      </c>
      <c r="G120" s="130" t="n"/>
      <c r="H120" s="147">
        <f>SUMIFS(出库全流程!C:C,出库全流程!A:A,"增城省仓",出库全流程!B:B,"多形态",出库全流程!W:W,C120)+SUMIFS(出库全流程!C:C,出库全流程!A:A,"零售电商仓",出库全流程!B:B,"多形态",出库全流程!W:W,C120)</f>
        <v/>
      </c>
      <c r="I120" s="130" t="n"/>
    </row>
    <row r="121" ht="15" customHeight="1" s="88">
      <c r="A121" s="164" t="inlineStr">
        <is>
          <t>数据来源：</t>
        </is>
      </c>
      <c r="B121" s="128" t="n"/>
      <c r="C121" s="130" t="n"/>
      <c r="D121" s="164" t="inlineStr">
        <is>
          <t>LIS库存查询汇总</t>
        </is>
      </c>
      <c r="E121" s="130" t="n"/>
      <c r="F121" s="165" t="inlineStr">
        <is>
          <t>LIS收货记录查询</t>
        </is>
      </c>
      <c r="G121" s="139" t="n"/>
      <c r="H121" s="165" t="inlineStr">
        <is>
          <t>LIS出库全流程单据清单</t>
        </is>
      </c>
      <c r="I121" s="139" t="n"/>
    </row>
    <row r="122" ht="15" customHeight="1" s="88">
      <c r="A122" s="166" t="inlineStr">
        <is>
          <t>数据周期：</t>
        </is>
      </c>
      <c r="B122" s="128" t="n"/>
      <c r="C122" s="130" t="n"/>
      <c r="D122" s="167" t="inlineStr">
        <is>
          <t>实时库存数</t>
        </is>
      </c>
      <c r="E122" s="130" t="n"/>
      <c r="F122" s="168">
        <f>$A$1</f>
        <v/>
      </c>
      <c r="G122" s="169" t="inlineStr">
        <is>
          <t>00:00-24:00</t>
        </is>
      </c>
      <c r="H122" s="168">
        <f>$A$1</f>
        <v/>
      </c>
      <c r="I122" s="176" t="inlineStr">
        <is>
          <t>6:00-次日6:00</t>
        </is>
      </c>
    </row>
  </sheetData>
  <mergeCells count="252">
    <mergeCell ref="H82:I82"/>
    <mergeCell ref="H53:I53"/>
    <mergeCell ref="H35:I35"/>
    <mergeCell ref="F116:G116"/>
    <mergeCell ref="F29:G29"/>
    <mergeCell ref="F16:G16"/>
    <mergeCell ref="H10:I10"/>
    <mergeCell ref="F68:G68"/>
    <mergeCell ref="F25:G25"/>
    <mergeCell ref="F103:G103"/>
    <mergeCell ref="F108:G108"/>
    <mergeCell ref="H55:I55"/>
    <mergeCell ref="F84:G84"/>
    <mergeCell ref="H113:I113"/>
    <mergeCell ref="F118:G118"/>
    <mergeCell ref="H9:I9"/>
    <mergeCell ref="H118:I118"/>
    <mergeCell ref="H39:I39"/>
    <mergeCell ref="F15:G15"/>
    <mergeCell ref="F86:G86"/>
    <mergeCell ref="L19:M21"/>
    <mergeCell ref="F80:G80"/>
    <mergeCell ref="H94:I94"/>
    <mergeCell ref="H89:I89"/>
    <mergeCell ref="A2:A3"/>
    <mergeCell ref="F70:G70"/>
    <mergeCell ref="H52:I52"/>
    <mergeCell ref="F79:G79"/>
    <mergeCell ref="H79:I79"/>
    <mergeCell ref="H108:I108"/>
    <mergeCell ref="F72:G72"/>
    <mergeCell ref="H45:I45"/>
    <mergeCell ref="H72:I72"/>
    <mergeCell ref="F23:G23"/>
    <mergeCell ref="F81:G81"/>
    <mergeCell ref="H81:I81"/>
    <mergeCell ref="F121:G121"/>
    <mergeCell ref="H37:I37"/>
    <mergeCell ref="F13:G13"/>
    <mergeCell ref="H13:I13"/>
    <mergeCell ref="F56:G56"/>
    <mergeCell ref="F71:G71"/>
    <mergeCell ref="H65:I65"/>
    <mergeCell ref="F96:G96"/>
    <mergeCell ref="H96:I96"/>
    <mergeCell ref="F43:G43"/>
    <mergeCell ref="F105:G105"/>
    <mergeCell ref="H105:I105"/>
    <mergeCell ref="H87:I87"/>
    <mergeCell ref="H62:I62"/>
    <mergeCell ref="F120:G120"/>
    <mergeCell ref="H15:I15"/>
    <mergeCell ref="H71:I71"/>
    <mergeCell ref="F98:G98"/>
    <mergeCell ref="H120:I120"/>
    <mergeCell ref="F107:G107"/>
    <mergeCell ref="H23:I23"/>
    <mergeCell ref="H107:I107"/>
    <mergeCell ref="F88:G88"/>
    <mergeCell ref="F57:G57"/>
    <mergeCell ref="H91:I91"/>
    <mergeCell ref="F10:G10"/>
    <mergeCell ref="F54:G54"/>
    <mergeCell ref="H54:I54"/>
    <mergeCell ref="F19:G19"/>
    <mergeCell ref="F34:G34"/>
    <mergeCell ref="F63:G63"/>
    <mergeCell ref="H63:I63"/>
    <mergeCell ref="H41:I41"/>
    <mergeCell ref="F6:G6"/>
    <mergeCell ref="F99:G99"/>
    <mergeCell ref="H93:I93"/>
    <mergeCell ref="H50:I50"/>
    <mergeCell ref="H102:I102"/>
    <mergeCell ref="F74:G74"/>
    <mergeCell ref="H74:I74"/>
    <mergeCell ref="F83:G83"/>
    <mergeCell ref="H56:I56"/>
    <mergeCell ref="H68:I68"/>
    <mergeCell ref="H25:I25"/>
    <mergeCell ref="H34:I34"/>
    <mergeCell ref="H83:I83"/>
    <mergeCell ref="F30:G30"/>
    <mergeCell ref="H117:I117"/>
    <mergeCell ref="D2:E2"/>
    <mergeCell ref="F5:G5"/>
    <mergeCell ref="F20:G20"/>
    <mergeCell ref="F18:G18"/>
    <mergeCell ref="F33:G33"/>
    <mergeCell ref="F45:G45"/>
    <mergeCell ref="H49:I49"/>
    <mergeCell ref="F76:G76"/>
    <mergeCell ref="F42:G42"/>
    <mergeCell ref="F85:G85"/>
    <mergeCell ref="H36:I36"/>
    <mergeCell ref="H85:I85"/>
    <mergeCell ref="F94:G94"/>
    <mergeCell ref="H119:I119"/>
    <mergeCell ref="F17:G17"/>
    <mergeCell ref="F66:G66"/>
    <mergeCell ref="H17:I17"/>
    <mergeCell ref="F75:G75"/>
    <mergeCell ref="A121:C121"/>
    <mergeCell ref="H11:I11"/>
    <mergeCell ref="H69:I69"/>
    <mergeCell ref="F109:G109"/>
    <mergeCell ref="F47:G47"/>
    <mergeCell ref="F62:G62"/>
    <mergeCell ref="H109:I109"/>
    <mergeCell ref="F31:G31"/>
    <mergeCell ref="F46:G46"/>
    <mergeCell ref="H19:I19"/>
    <mergeCell ref="F28:G28"/>
    <mergeCell ref="H75:I75"/>
    <mergeCell ref="H28:I28"/>
    <mergeCell ref="F111:G111"/>
    <mergeCell ref="H80:I80"/>
    <mergeCell ref="H111:I111"/>
    <mergeCell ref="F9:G9"/>
    <mergeCell ref="L13:M14"/>
    <mergeCell ref="F61:G61"/>
    <mergeCell ref="F39:G39"/>
    <mergeCell ref="H12:I12"/>
    <mergeCell ref="F48:G48"/>
    <mergeCell ref="H95:I95"/>
    <mergeCell ref="H48:I48"/>
    <mergeCell ref="H104:I104"/>
    <mergeCell ref="H5:I5"/>
    <mergeCell ref="F44:G44"/>
    <mergeCell ref="H14:I14"/>
    <mergeCell ref="H97:I97"/>
    <mergeCell ref="F64:G64"/>
    <mergeCell ref="H106:I106"/>
    <mergeCell ref="F4:G4"/>
    <mergeCell ref="F73:G73"/>
    <mergeCell ref="F87:G87"/>
    <mergeCell ref="H38:I38"/>
    <mergeCell ref="H43:I43"/>
    <mergeCell ref="H31:I31"/>
    <mergeCell ref="F89:G89"/>
    <mergeCell ref="H58:I58"/>
    <mergeCell ref="H40:I40"/>
    <mergeCell ref="F7:G7"/>
    <mergeCell ref="F21:G21"/>
    <mergeCell ref="H121:I121"/>
    <mergeCell ref="H21:I21"/>
    <mergeCell ref="H73:I73"/>
    <mergeCell ref="H60:I60"/>
    <mergeCell ref="F114:G114"/>
    <mergeCell ref="F36:G36"/>
    <mergeCell ref="A122:C122"/>
    <mergeCell ref="F50:G50"/>
    <mergeCell ref="F101:G101"/>
    <mergeCell ref="F110:G110"/>
    <mergeCell ref="H110:I110"/>
    <mergeCell ref="F8:G8"/>
    <mergeCell ref="A1:D1"/>
    <mergeCell ref="F91:G91"/>
    <mergeCell ref="F100:G100"/>
    <mergeCell ref="H16:I16"/>
    <mergeCell ref="H100:I100"/>
    <mergeCell ref="H57:I57"/>
    <mergeCell ref="F22:G22"/>
    <mergeCell ref="H84:I84"/>
    <mergeCell ref="F93:G93"/>
    <mergeCell ref="H22:I22"/>
    <mergeCell ref="H66:I66"/>
    <mergeCell ref="F115:G115"/>
    <mergeCell ref="F102:G102"/>
    <mergeCell ref="L26:M28"/>
    <mergeCell ref="F77:G77"/>
    <mergeCell ref="H77:I77"/>
    <mergeCell ref="F117:G117"/>
    <mergeCell ref="F92:G92"/>
    <mergeCell ref="H86:I86"/>
    <mergeCell ref="H42:I42"/>
    <mergeCell ref="F2:G3"/>
    <mergeCell ref="A4:A88"/>
    <mergeCell ref="H2:I3"/>
    <mergeCell ref="F49:G49"/>
    <mergeCell ref="F14:G14"/>
    <mergeCell ref="F119:G119"/>
    <mergeCell ref="H92:I92"/>
    <mergeCell ref="H30:I30"/>
    <mergeCell ref="F11:G11"/>
    <mergeCell ref="H67:I67"/>
    <mergeCell ref="F69:G69"/>
    <mergeCell ref="H20:I20"/>
    <mergeCell ref="F78:G78"/>
    <mergeCell ref="H103:I103"/>
    <mergeCell ref="H29:I29"/>
    <mergeCell ref="H78:I78"/>
    <mergeCell ref="F112:G112"/>
    <mergeCell ref="F65:G65"/>
    <mergeCell ref="H112:I112"/>
    <mergeCell ref="B4:B88"/>
    <mergeCell ref="H4:I4"/>
    <mergeCell ref="H44:I44"/>
    <mergeCell ref="F40:G40"/>
    <mergeCell ref="F59:G59"/>
    <mergeCell ref="H114:I114"/>
    <mergeCell ref="F55:G55"/>
    <mergeCell ref="F12:G12"/>
    <mergeCell ref="F24:G24"/>
    <mergeCell ref="H6:I6"/>
    <mergeCell ref="H59:I59"/>
    <mergeCell ref="F95:G95"/>
    <mergeCell ref="H46:I46"/>
    <mergeCell ref="H64:I64"/>
    <mergeCell ref="F104:G104"/>
    <mergeCell ref="F51:G51"/>
    <mergeCell ref="H98:I98"/>
    <mergeCell ref="F113:G113"/>
    <mergeCell ref="E1:I1"/>
    <mergeCell ref="H51:I51"/>
    <mergeCell ref="F32:G32"/>
    <mergeCell ref="H61:I61"/>
    <mergeCell ref="F26:G26"/>
    <mergeCell ref="F41:G41"/>
    <mergeCell ref="H88:I88"/>
    <mergeCell ref="H70:I70"/>
    <mergeCell ref="F35:G35"/>
    <mergeCell ref="F97:G97"/>
    <mergeCell ref="F106:G106"/>
    <mergeCell ref="H115:I115"/>
    <mergeCell ref="F38:G38"/>
    <mergeCell ref="H32:I32"/>
    <mergeCell ref="H7:I7"/>
    <mergeCell ref="F90:G90"/>
    <mergeCell ref="H90:I90"/>
    <mergeCell ref="D122:E122"/>
    <mergeCell ref="H99:I99"/>
    <mergeCell ref="H47:I47"/>
    <mergeCell ref="F27:G27"/>
    <mergeCell ref="F58:G58"/>
    <mergeCell ref="H27:I27"/>
    <mergeCell ref="F52:G52"/>
    <mergeCell ref="F67:G67"/>
    <mergeCell ref="D121:E121"/>
    <mergeCell ref="F37:G37"/>
    <mergeCell ref="H101:I101"/>
    <mergeCell ref="B2:C3"/>
    <mergeCell ref="H24:I24"/>
    <mergeCell ref="F82:G82"/>
    <mergeCell ref="H18:I18"/>
    <mergeCell ref="H33:I33"/>
    <mergeCell ref="F60:G60"/>
    <mergeCell ref="H76:I76"/>
    <mergeCell ref="H116:I116"/>
    <mergeCell ref="H8:I8"/>
    <mergeCell ref="F53:G53"/>
    <mergeCell ref="H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Q26"/>
  <sheetViews>
    <sheetView workbookViewId="0">
      <selection activeCell="F18" sqref="A1:I22"/>
    </sheetView>
  </sheetViews>
  <sheetFormatPr baseColWidth="8" defaultColWidth="9.138888888888889" defaultRowHeight="13.2"/>
  <cols>
    <col width="10.8611111111111" customWidth="1" style="88" min="1" max="2"/>
    <col width="16.712962962963" customWidth="1" style="88" min="3" max="3"/>
    <col width="11.1388888888889" customWidth="1" style="88" min="4" max="4"/>
    <col width="5.55555555555556" customWidth="1" style="88" min="5" max="5"/>
    <col width="11.1111111111111" customWidth="1" style="88" min="6" max="6"/>
    <col width="12.712962962963" customWidth="1" style="88" min="7" max="7"/>
    <col width="11.1111111111111" customWidth="1" style="88" min="8" max="8"/>
    <col width="14.287037037037" customWidth="1" style="88" min="9" max="9"/>
    <col width="27.712962962963" customWidth="1" style="88" min="11" max="11"/>
    <col width="31.3333333333333" customWidth="1" style="88" min="12" max="12"/>
  </cols>
  <sheetData>
    <row r="1" ht="24" customHeight="1" s="88">
      <c r="A1" s="127">
        <f>TODAY()-1</f>
        <v/>
      </c>
      <c r="B1" s="128" t="n"/>
      <c r="C1" s="128" t="n"/>
      <c r="D1" s="129" t="inlineStr">
        <is>
          <t>互联网省仓库存报表</t>
        </is>
      </c>
      <c r="E1" s="128" t="n"/>
      <c r="F1" s="128" t="n"/>
      <c r="G1" s="128" t="n"/>
      <c r="H1" s="128" t="n"/>
      <c r="I1" s="130" t="n"/>
      <c r="K1" s="53" t="n"/>
    </row>
    <row r="2" ht="15.6" customHeight="1" s="88">
      <c r="A2" s="137" t="inlineStr">
        <is>
          <t>仓库</t>
        </is>
      </c>
      <c r="B2" s="137" t="inlineStr">
        <is>
          <t>种类</t>
        </is>
      </c>
      <c r="C2" s="139" t="n"/>
      <c r="D2" s="137" t="inlineStr">
        <is>
          <t>总库存</t>
        </is>
      </c>
      <c r="E2" s="130" t="n"/>
      <c r="F2" s="137" t="inlineStr">
        <is>
          <t>今日入库</t>
        </is>
      </c>
      <c r="G2" s="139" t="n"/>
      <c r="H2" s="134" t="inlineStr">
        <is>
          <t>今日出库</t>
        </is>
      </c>
      <c r="I2" s="132" t="n"/>
      <c r="K2" s="53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  <c r="K3" s="53" t="n"/>
    </row>
    <row r="4" ht="15.6" customHeight="1" s="88">
      <c r="A4" s="145" t="inlineStr">
        <is>
          <t>互联网
省仓</t>
        </is>
      </c>
      <c r="B4" s="138" t="inlineStr">
        <is>
          <t>手机</t>
        </is>
      </c>
      <c r="C4" s="146" t="inlineStr">
        <is>
          <t>总计</t>
        </is>
      </c>
      <c r="D4" s="147">
        <f>SUM(D5:D17)</f>
        <v/>
      </c>
      <c r="E4" s="147">
        <f>SUM(E5:E17)</f>
        <v/>
      </c>
      <c r="F4" s="147">
        <f>SUM(F5:G17)</f>
        <v/>
      </c>
      <c r="G4" s="130" t="n"/>
      <c r="H4" s="147">
        <f>SUM(H5:I17)</f>
        <v/>
      </c>
      <c r="I4" s="130" t="n"/>
      <c r="K4" s="148" t="inlineStr">
        <is>
          <t>省仓库存合计（表格）</t>
        </is>
      </c>
      <c r="L4" s="37">
        <f>D4</f>
        <v/>
      </c>
    </row>
    <row r="5" ht="15.6" customHeight="1" s="88">
      <c r="A5" s="144" t="n"/>
      <c r="B5" s="144" t="n"/>
      <c r="C5" s="146" t="inlineStr">
        <is>
          <t>苹果</t>
        </is>
      </c>
      <c r="D5" s="147">
        <f>SUMIFS(总库存!R:R,总库存!A:A,"互联网省仓",总库存!B:B,"手机",总库存!U:U,C5)</f>
        <v/>
      </c>
      <c r="E5" s="147">
        <f>SUMIFS(总库存!E:E,总库存!A:A,"互联网省仓",总库存!B:B,"手机",总库存!U:U,C5,总库存!E:E,1)</f>
        <v/>
      </c>
      <c r="F5" s="147">
        <f>SUMIFS(收货记录查询!Y:Y,收货记录查询!A:A,"互联网省仓",收货记录查询!B:B,"手机",收货记录查询!M:M,C5,收货记录查询!C:C,$A$1)</f>
        <v/>
      </c>
      <c r="G5" s="130" t="n"/>
      <c r="H5" s="147">
        <f>SUMIFS(出库全流程!C:C,出库全流程!A:A,"互联网省仓",出库全流程!B:B,"手机",出库全流程!W:W,C5)</f>
        <v/>
      </c>
      <c r="I5" s="130" t="n"/>
      <c r="K5" s="148" t="inlineStr">
        <is>
          <t>省仓库存合计（明细）</t>
        </is>
      </c>
      <c r="L5" s="37">
        <f>SUMIFS(总库存!R:R,总库存!A:A,"互联网省仓",总库存!B:B,"手机")</f>
        <v/>
      </c>
    </row>
    <row r="6" ht="15.6" customHeight="1" s="88">
      <c r="A6" s="144" t="n"/>
      <c r="B6" s="144" t="n"/>
      <c r="C6" s="146" t="inlineStr">
        <is>
          <t>华为</t>
        </is>
      </c>
      <c r="D6" s="147">
        <f>SUMIFS(总库存!R:R,总库存!A:A,"互联网省仓",总库存!B:B,"手机",总库存!U:U,C6)</f>
        <v/>
      </c>
      <c r="E6" s="147">
        <f>SUMIFS(总库存!E:E,总库存!A:A,"互联网省仓",总库存!B:B,"手机",总库存!U:U,C6,总库存!E:E,1)</f>
        <v/>
      </c>
      <c r="F6" s="147">
        <f>SUMIFS(收货记录查询!Y:Y,收货记录查询!A:A,"互联网省仓",收货记录查询!B:B,"手机",收货记录查询!M:M,C6,收货记录查询!C:C,$A$1)</f>
        <v/>
      </c>
      <c r="G6" s="130" t="n"/>
      <c r="H6" s="147">
        <f>SUMIFS(出库全流程!C:C,出库全流程!A:A,"互联网省仓",出库全流程!B:B,"手机",出库全流程!W:W,C6)</f>
        <v/>
      </c>
      <c r="I6" s="130" t="n"/>
      <c r="K6" s="149" t="inlineStr">
        <is>
          <t>差异数</t>
        </is>
      </c>
      <c r="L6" s="40">
        <f>L4-L5</f>
        <v/>
      </c>
    </row>
    <row r="7" ht="15.6" customHeight="1" s="88">
      <c r="A7" s="144" t="n"/>
      <c r="B7" s="144" t="n"/>
      <c r="C7" s="146" t="inlineStr">
        <is>
          <t>小米科技</t>
        </is>
      </c>
      <c r="D7" s="147">
        <f>SUMIFS(总库存!R:R,总库存!A:A,"互联网省仓",总库存!B:B,"手机",总库存!U:U,C7)</f>
        <v/>
      </c>
      <c r="E7" s="147">
        <f>SUMIFS(总库存!E:E,总库存!A:A,"互联网省仓",总库存!B:B,"手机",总库存!U:U,C7,总库存!E:E,1)</f>
        <v/>
      </c>
      <c r="F7" s="147">
        <f>SUMIFS(收货记录查询!Y:Y,收货记录查询!A:A,"互联网省仓",收货记录查询!B:B,"手机",收货记录查询!M:M,C7,收货记录查询!C:C,$A$1)</f>
        <v/>
      </c>
      <c r="G7" s="130" t="n"/>
      <c r="H7" s="147">
        <f>SUMIFS(出库全流程!C:C,出库全流程!A:A,"互联网省仓",出库全流程!B:B,"手机",出库全流程!W:W,C7)</f>
        <v/>
      </c>
      <c r="I7" s="130" t="n"/>
      <c r="K7" s="150" t="inlineStr">
        <is>
          <t>注：如差异数不为0，则查看左侧表格是否需补充手机品牌，缺失品牌到子表[2.0总库存]查找</t>
        </is>
      </c>
      <c r="L7" s="139" t="n"/>
    </row>
    <row r="8" ht="15.6" customHeight="1" s="88">
      <c r="A8" s="144" t="n"/>
      <c r="B8" s="144" t="n"/>
      <c r="C8" s="146" t="inlineStr">
        <is>
          <t>欧珀</t>
        </is>
      </c>
      <c r="D8" s="147">
        <f>SUMIFS(总库存!R:R,总库存!A:A,"互联网省仓",总库存!B:B,"手机",总库存!U:U,C8)+SUMIFS(总库存!R:R,总库存!A:A,"互联网省仓",总库存!B:B,"手机",总库存!U:U,"remax")</f>
        <v/>
      </c>
      <c r="E8" s="147">
        <f>SUMIFS(总库存!E:E,总库存!A:A,"互联网省仓",总库存!B:B,"手机",总库存!U:U,C8,总库存!E:E,1)</f>
        <v/>
      </c>
      <c r="F8" s="147">
        <f>SUMIFS(收货记录查询!Y:Y,收货记录查询!A:A,"互联网省仓",收货记录查询!B:B,"手机",收货记录查询!M:M,C8,收货记录查询!C:C,$A$1)+SUMIFS(收货记录查询!Y:Y,收货记录查询!A:A,"互联网省仓",收货记录查询!B:B,"手机",收货记录查询!M:M,"remax",收货记录查询!C:C,$A$1)</f>
        <v/>
      </c>
      <c r="G8" s="130" t="n"/>
      <c r="H8" s="147">
        <f>SUMIFS(出库全流程!C:C,出库全流程!A:A,"互联网省仓",出库全流程!B:B,"手机",出库全流程!W:W,C8)+SUMIFS(出库全流程!C:C,出库全流程!A:A,"互联网省仓",出库全流程!B:B,"手机",出库全流程!W:W,"remax")</f>
        <v/>
      </c>
      <c r="I8" s="130" t="n"/>
      <c r="K8" s="136" t="n"/>
      <c r="L8" s="133" t="n"/>
    </row>
    <row r="9" ht="15.6" customHeight="1" s="88">
      <c r="A9" s="144" t="n"/>
      <c r="B9" s="144" t="n"/>
      <c r="C9" s="146" t="inlineStr">
        <is>
          <t>iQOO</t>
        </is>
      </c>
      <c r="D9" s="147">
        <f>SUMIFS(总库存!R:R,总库存!A:A,"互联网省仓",总库存!B:B,"手机",总库存!U:U,C9)</f>
        <v/>
      </c>
      <c r="E9" s="147">
        <f>SUMIFS(总库存!E:E,总库存!A:A,"互联网省仓",总库存!B:B,"手机",总库存!U:U,C9,总库存!E:E,1)</f>
        <v/>
      </c>
      <c r="F9" s="147">
        <f>SUMIFS(收货记录查询!Y:Y,收货记录查询!A:A,"互联网省仓",收货记录查询!B:B,"手机",收货记录查询!M:M,C9,收货记录查询!C:C,$A$1)+SUMIFS(收货记录查询!Y:Y,收货记录查询!A:A,"互联网省仓",收货记录查询!B:B,"手机",收货记录查询!M:M,"remax",收货记录查询!C:C,$A$1)</f>
        <v/>
      </c>
      <c r="G9" s="130" t="n"/>
      <c r="H9" s="147">
        <f>SUMIFS(出库全流程!C:C,出库全流程!A:A,"互联网省仓",出库全流程!B:B,"手机",出库全流程!W:W,C9)+SUMIFS(出库全流程!C:C,出库全流程!A:A,"互联网省仓",出库全流程!B:B,"手机",出库全流程!W:W,"remax")</f>
        <v/>
      </c>
      <c r="I9" s="130" t="n"/>
      <c r="K9" s="177" t="n"/>
      <c r="L9" s="177" t="n"/>
    </row>
    <row r="10" ht="15.6" customHeight="1" s="88">
      <c r="A10" s="144" t="n"/>
      <c r="B10" s="144" t="n"/>
      <c r="C10" s="146" t="inlineStr">
        <is>
          <t>荣耀</t>
        </is>
      </c>
      <c r="D10" s="147">
        <f>SUMIFS(总库存!R:R,总库存!A:A,"互联网省仓",总库存!B:B,"手机",总库存!U:U,C10)</f>
        <v/>
      </c>
      <c r="E10" s="147">
        <f>SUMIFS(总库存!E:E,总库存!A:A,"互联网省仓",总库存!B:B,"手机",总库存!U:U,C10,总库存!E:E,1)</f>
        <v/>
      </c>
      <c r="F10" s="147">
        <f>SUMIFS(收货记录查询!Y:Y,收货记录查询!A:A,"互联网省仓",收货记录查询!B:B,"手机",收货记录查询!M:M,C10,收货记录查询!C:C,$A$1)</f>
        <v/>
      </c>
      <c r="G10" s="130" t="n"/>
      <c r="H10" s="147">
        <f>SUMIFS(出库全流程!C:C,出库全流程!A:A,"互联网省仓",出库全流程!B:B,"手机",出库全流程!W:W,C10)</f>
        <v/>
      </c>
      <c r="I10" s="130" t="n"/>
      <c r="K10" s="53" t="n"/>
    </row>
    <row r="11" ht="15.6" customHeight="1" s="88">
      <c r="A11" s="144" t="n"/>
      <c r="B11" s="144" t="n"/>
      <c r="C11" s="146" t="inlineStr">
        <is>
          <t>魅族</t>
        </is>
      </c>
      <c r="D11" s="147">
        <f>SUMIFS(总库存!R:R,总库存!A:A,"互联网省仓",总库存!B:B,"手机",总库存!U:U,C11)</f>
        <v/>
      </c>
      <c r="E11" s="147">
        <f>SUMIFS(总库存!E:E,总库存!A:A,"互联网省仓",总库存!B:B,"手机",总库存!U:U,C11,总库存!E:E,1)</f>
        <v/>
      </c>
      <c r="F11" s="147">
        <f>SUMIFS(收货记录查询!Y:Y,收货记录查询!A:A,"互联网省仓",收货记录查询!B:B,"手机",收货记录查询!M:M,C11,收货记录查询!C:C,$A$1)</f>
        <v/>
      </c>
      <c r="G11" s="130" t="n"/>
      <c r="H11" s="147">
        <f>SUMIFS(出库全流程!C:C,出库全流程!A:A,"互联网省仓",出库全流程!B:B,"手机",出库全流程!W:W,C11)</f>
        <v/>
      </c>
      <c r="I11" s="130" t="n"/>
      <c r="K11" s="148" t="inlineStr">
        <is>
          <t>省仓入库合计（表格）</t>
        </is>
      </c>
      <c r="L11" s="37">
        <f>F4</f>
        <v/>
      </c>
    </row>
    <row r="12" ht="15.6" customHeight="1" s="88">
      <c r="A12" s="144" t="n"/>
      <c r="B12" s="144" t="n"/>
      <c r="C12" s="146" t="inlineStr">
        <is>
          <t>维沃</t>
        </is>
      </c>
      <c r="D12" s="147">
        <f>SUMIFS(总库存!R:R,总库存!A:A,"互联网省仓",总库存!B:B,"手机",总库存!U:U,C12)</f>
        <v/>
      </c>
      <c r="E12" s="147">
        <f>SUMIFS(总库存!E:E,总库存!A:A,"互联网省仓",总库存!B:B,"手机",总库存!U:U,C12,总库存!E:E,1)</f>
        <v/>
      </c>
      <c r="F12" s="147">
        <f>SUMIFS(收货记录查询!Y:Y,收货记录查询!A:A,"互联网省仓",收货记录查询!B:B,"手机",收货记录查询!M:M,C12,收货记录查询!C:C,$A$1)</f>
        <v/>
      </c>
      <c r="G12" s="130" t="n"/>
      <c r="H12" s="147">
        <f>SUMIFS(出库全流程!C:C,出库全流程!A:A,"互联网省仓",出库全流程!B:B,"手机",出库全流程!W:W,C12)</f>
        <v/>
      </c>
      <c r="I12" s="130" t="n"/>
      <c r="K12" s="148" t="inlineStr">
        <is>
          <t>省仓入库合计（明细）</t>
        </is>
      </c>
      <c r="L12" s="37">
        <f>SUMIFS(收货记录查询!Y:Y,收货记录查询!A:A,"互联网省仓",收货记录查询!B:B,"手机",收货记录查询!C:C,$A$1)</f>
        <v/>
      </c>
    </row>
    <row r="13" ht="15.6" customHeight="1" s="88">
      <c r="A13" s="144" t="n"/>
      <c r="B13" s="144" t="n"/>
      <c r="C13" s="146" t="inlineStr">
        <is>
          <t>一加</t>
        </is>
      </c>
      <c r="D13" s="147">
        <f>SUMIFS(总库存!R:R,总库存!A:A,"互联网省仓",总库存!B:B,"手机",总库存!U:U,C13)</f>
        <v/>
      </c>
      <c r="E13" s="147">
        <f>SUMIFS(总库存!E:E,总库存!A:A,"互联网省仓",总库存!B:B,"手机",总库存!U:U,C13,总库存!E:E,1)</f>
        <v/>
      </c>
      <c r="F13" s="147">
        <f>SUMIFS(收货记录查询!Y:Y,收货记录查询!A:A,"互联网省仓",收货记录查询!B:B,"手机",收货记录查询!M:M,C13,收货记录查询!C:C,$A$1)</f>
        <v/>
      </c>
      <c r="G13" s="130" t="n"/>
      <c r="H13" s="147">
        <f>SUMIFS(出库全流程!C:C,出库全流程!A:A,"互联网省仓",出库全流程!B:B,"手机",出库全流程!W:W,C13)</f>
        <v/>
      </c>
      <c r="I13" s="130" t="n"/>
      <c r="K13" s="149" t="inlineStr">
        <is>
          <t>差异数</t>
        </is>
      </c>
      <c r="L13" s="40">
        <f>L11-L12</f>
        <v/>
      </c>
      <c r="M13" s="56" t="n"/>
      <c r="N13" s="56" t="n"/>
    </row>
    <row r="14" ht="15.6" customHeight="1" s="88">
      <c r="A14" s="144" t="n"/>
      <c r="B14" s="144" t="n"/>
      <c r="C14" s="146" t="inlineStr">
        <is>
          <t>REALME</t>
        </is>
      </c>
      <c r="D14" s="147">
        <f>SUMIFS(总库存!R:R,总库存!A:A,"互联网省仓",总库存!B:B,"手机",总库存!U:U,C14)</f>
        <v/>
      </c>
      <c r="E14" s="147">
        <f>SUMIFS(总库存!E:E,总库存!A:A,"互联网省仓",总库存!B:B,"手机",总库存!U:U,C14,总库存!E:E,1)</f>
        <v/>
      </c>
      <c r="F14" s="147">
        <f>SUMIFS(收货记录查询!Y:Y,收货记录查询!A:A,"互联网省仓",收货记录查询!B:B,"手机",收货记录查询!M:M,C14,收货记录查询!C:C,$A$1)</f>
        <v/>
      </c>
      <c r="G14" s="130" t="n"/>
      <c r="H14" s="147">
        <f>SUMIFS(出库全流程!C:C,出库全流程!A:A,"互联网省仓",出库全流程!B:B,"手机",出库全流程!W:W,C14)</f>
        <v/>
      </c>
      <c r="I14" s="130" t="n"/>
      <c r="K14" s="150" t="inlineStr">
        <is>
          <t>注：如差异数不为0，则查看左侧表格是否需补充手机品牌，缺失品牌到子表[2.0收货记录查询]查找</t>
        </is>
      </c>
      <c r="L14" s="139" t="n"/>
      <c r="M14" s="56" t="n"/>
      <c r="N14" s="56" t="n"/>
    </row>
    <row r="15" ht="15.6" customHeight="1" s="88">
      <c r="A15" s="144" t="n"/>
      <c r="B15" s="144" t="n"/>
      <c r="C15" s="146" t="inlineStr">
        <is>
          <t>三星</t>
        </is>
      </c>
      <c r="D15" s="147">
        <f>SUMIFS(总库存!R:R,总库存!A:A,"互联网省仓",总库存!B:B,"手机",总库存!U:U,C15)+SUMIFS(总库存!R:R,总库存!A:A,"互联网省仓",总库存!B:B,"手机",总库存!U:U,"中国移动")</f>
        <v/>
      </c>
      <c r="E15" s="147">
        <f>SUMIFS(总库存!E:E,总库存!A:A,"互联网省仓",总库存!B:B,"手机",总库存!U:U,C15,总库存!E:E,1)+SUMIFS(总库存!E:E,总库存!A:A,"互联网省仓",总库存!B:B,"手机",总库存!U:U,"中国移动",总库存!E:E,1)</f>
        <v/>
      </c>
      <c r="F15" s="147">
        <f>SUMIFS(收货记录查询!Y:Y,收货记录查询!A:A,"互联网省仓",收货记录查询!B:B,"手机",收货记录查询!M:M,C15,收货记录查询!C:C,$A$1)+SUMIFS(收货记录查询!Y:Y,收货记录查询!A:A,"互联网省仓",收货记录查询!B:B,"手机",收货记录查询!M:M,"中国移动",收货记录查询!C:C,$A$1)</f>
        <v/>
      </c>
      <c r="G15" s="130" t="n"/>
      <c r="H15" s="147">
        <f>SUMIFS(出库全流程!C:C,出库全流程!A:A,"互联网省仓",出库全流程!B:B,"手机",出库全流程!W:W,C15)+SUMIFS(出库全流程!C:C,出库全流程!A:A,"互联网省仓",出库全流程!B:B,"手机",出库全流程!W:W,"中国移动")</f>
        <v/>
      </c>
      <c r="I15" s="130" t="n"/>
      <c r="K15" s="136" t="n"/>
      <c r="L15" s="133" t="n"/>
      <c r="M15" s="56" t="n"/>
      <c r="N15" s="56" t="n"/>
    </row>
    <row r="16" ht="15.6" customHeight="1" s="88">
      <c r="A16" s="144" t="n"/>
      <c r="B16" s="144" t="n"/>
      <c r="C16" s="146" t="inlineStr">
        <is>
          <t>酷派</t>
        </is>
      </c>
      <c r="D16" s="147">
        <f>SUMIFS(总库存!R:R,总库存!A:A,"互联网省仓",总库存!B:B,"手机",总库存!U:U,C16)</f>
        <v/>
      </c>
      <c r="E16" s="147">
        <f>SUMIFS(总库存!E:E,总库存!A:A,"互联网省仓",总库存!B:B,"手机",总库存!U:U,C16,总库存!E:E,1)+SUMIFS(总库存!E:E,总库存!A:A,"互联网省仓",总库存!B:B,"手机",总库存!U:U,"中国移动",总库存!E:E,1)</f>
        <v/>
      </c>
      <c r="F16" s="147">
        <f>SUMIFS(收货记录查询!Y:Y,收货记录查询!A:A,"互联网省仓",收货记录查询!B:B,"手机",收货记录查询!M:M,C16,收货记录查询!C:C,$A$1)</f>
        <v/>
      </c>
      <c r="G16" s="130" t="n"/>
      <c r="H16" s="147">
        <f>SUMIFS(出库全流程!C:C,出库全流程!A:A,"互联网省仓",出库全流程!B:B,"手机",出库全流程!W:W,C16)</f>
        <v/>
      </c>
      <c r="I16" s="130" t="n"/>
      <c r="K16" s="56" t="n"/>
      <c r="L16" s="56" t="n"/>
      <c r="M16" s="56" t="n"/>
      <c r="N16" s="56" t="n"/>
    </row>
    <row r="17" ht="15.6" customHeight="1" s="88">
      <c r="A17" s="144" t="n"/>
      <c r="B17" s="135" t="n"/>
      <c r="C17" s="146" t="inlineStr">
        <is>
          <t>中移终端公司</t>
        </is>
      </c>
      <c r="D17" s="147">
        <f>SUMIFS(总库存!R:R,总库存!A:A,"互联网省仓",总库存!B:B,"手机",总库存!U:U,C17)</f>
        <v/>
      </c>
      <c r="E17" s="147">
        <f>SUMIFS(总库存!E:E,总库存!A:A,"互联网省仓",总库存!B:B,"手机",总库存!U:U,C17,总库存!E:E,1)+SUMIFS(总库存!E:E,总库存!A:A,"互联网省仓",总库存!B:B,"手机",总库存!U:U,"中国移动",总库存!E:E,1)</f>
        <v/>
      </c>
      <c r="F17" s="147">
        <f>SUMIFS(收货记录查询!Y:Y,收货记录查询!A:A,"互联网省仓",收货记录查询!B:B,"手机",收货记录查询!M:M,C17,收货记录查询!C:C,$A$1)</f>
        <v/>
      </c>
      <c r="G17" s="130" t="n"/>
      <c r="H17" s="147">
        <f>SUMIFS(出库全流程!C:C,出库全流程!A:A,"互联网省仓",出库全流程!B:B,"手机",出库全流程!W:W,C17)</f>
        <v/>
      </c>
      <c r="I17" s="130" t="n"/>
      <c r="K17" s="56" t="n"/>
      <c r="L17" s="56" t="n"/>
      <c r="M17" s="56" t="n"/>
      <c r="N17" s="56" t="n"/>
    </row>
    <row r="18" ht="18" customHeight="1" s="88">
      <c r="A18" s="144" t="n"/>
      <c r="B18" s="146" t="inlineStr">
        <is>
          <t>多形态</t>
        </is>
      </c>
      <c r="C18" s="130" t="n"/>
      <c r="D18" s="147">
        <f>SUMIFS(总库存!R:R,总库存!A:A,"互联网省仓",总库存!B:B,"多形态")</f>
        <v/>
      </c>
      <c r="E18" s="147">
        <f>SUMIFS(总库存!E:E,总库存!A:A,"互联网省仓",总库存!B:B,"多形态",总库存!E:E,1)</f>
        <v/>
      </c>
      <c r="F18" s="147">
        <f>SUMIFS(收货记录查询!Y:Y,收货记录查询!A:A,"互联网省仓",收货记录查询!B:B,"多形态",收货记录查询!C:C,$A$1)</f>
        <v/>
      </c>
      <c r="G18" s="130" t="n"/>
      <c r="H18" s="147">
        <f>SUMIFS(出库全流程!C:C,出库全流程!A:A,"互联网省仓",出库全流程!B:B,B18)</f>
        <v/>
      </c>
      <c r="I18" s="130" t="n"/>
      <c r="K18" s="148" t="inlineStr">
        <is>
          <t>省仓出库合计（表格）</t>
        </is>
      </c>
      <c r="L18" s="37">
        <f>H4</f>
        <v/>
      </c>
      <c r="M18" s="56" t="n"/>
      <c r="N18" s="56" t="n"/>
    </row>
    <row r="19" ht="15.6" customHeight="1" s="88">
      <c r="A19" s="144" t="n"/>
      <c r="B19" s="146" t="inlineStr">
        <is>
          <t>配件</t>
        </is>
      </c>
      <c r="C19" s="130" t="n"/>
      <c r="D19" s="147">
        <f>SUMIFS(总库存!R:R,总库存!A:A,"互联网省仓",总库存!B:B,"配件")</f>
        <v/>
      </c>
      <c r="E19" s="147">
        <f>SUMIFS(总库存!E:E,总库存!A:A,"互联网省仓",总库存!B:B,"配件",总库存!E:E,1)</f>
        <v/>
      </c>
      <c r="F19" s="147">
        <f>SUMIFS(收货记录查询!Y:Y,收货记录查询!A:A,"互联网省仓",收货记录查询!B:B,"配件",收货记录查询!C:C,$A$1)</f>
        <v/>
      </c>
      <c r="G19" s="130" t="n"/>
      <c r="H19" s="147">
        <f>SUMIFS(出库全流程!C:C,出库全流程!A:A,"互联网省仓",出库全流程!B:B,B19)</f>
        <v/>
      </c>
      <c r="I19" s="130" t="n"/>
      <c r="K19" s="148" t="inlineStr">
        <is>
          <t>省仓出库合计（明细）</t>
        </is>
      </c>
      <c r="L19" s="37">
        <f>SUMIFS(出库全流程!C:C,出库全流程!A:A,"互联网省仓",出库全流程!B:B,"手机")</f>
        <v/>
      </c>
      <c r="M19" s="56" t="n"/>
      <c r="N19" s="56" t="n"/>
    </row>
    <row r="20" ht="15.6" customHeight="1" s="88">
      <c r="A20" s="135" t="n"/>
      <c r="B20" s="146" t="inlineStr">
        <is>
          <t>促销品</t>
        </is>
      </c>
      <c r="C20" s="130" t="n"/>
      <c r="D20" s="147">
        <f>SUMIFS(总库存!R:R,总库存!A:A,"互联网省仓",总库存!B:B,"促销品")</f>
        <v/>
      </c>
      <c r="E20" s="147">
        <f>SUMIFS(总库存!E:E,总库存!A:A,"互联网省仓",总库存!B:B,"促销品",总库存!E:E,1)</f>
        <v/>
      </c>
      <c r="F20" s="147">
        <f>SUMIFS(收货记录查询!Y:Y,收货记录查询!A:A,"互联网省仓",收货记录查询!B:B,"促销品",收货记录查询!C:C,$A$1)</f>
        <v/>
      </c>
      <c r="G20" s="130" t="n"/>
      <c r="H20" s="147">
        <f>SUMIFS(出库全流程!C:C,出库全流程!A:A,"互联网省仓",出库全流程!B:B,B20)</f>
        <v/>
      </c>
      <c r="I20" s="130" t="n"/>
      <c r="K20" s="149" t="inlineStr">
        <is>
          <t>差异数</t>
        </is>
      </c>
      <c r="L20" s="40">
        <f>L18-L19</f>
        <v/>
      </c>
      <c r="M20" s="56" t="n"/>
      <c r="N20" s="56" t="n"/>
    </row>
    <row r="21" ht="15" customFormat="1" customHeight="1" s="126">
      <c r="A21" s="164" t="inlineStr">
        <is>
          <t>数据来源：</t>
        </is>
      </c>
      <c r="B21" s="128" t="n"/>
      <c r="C21" s="130" t="n"/>
      <c r="D21" s="164" t="inlineStr">
        <is>
          <t>LIS库存查询汇总</t>
        </is>
      </c>
      <c r="E21" s="130" t="n"/>
      <c r="F21" s="165" t="inlineStr">
        <is>
          <t>LIS收货记录查询</t>
        </is>
      </c>
      <c r="G21" s="139" t="n"/>
      <c r="H21" s="165" t="inlineStr">
        <is>
          <t>LIS出库全流程单据清单</t>
        </is>
      </c>
      <c r="I21" s="139" t="n"/>
      <c r="K21" s="150" t="inlineStr">
        <is>
          <t>注：如差异数不为0，则查看左侧表格是否需补充手机品牌，缺失品牌到子表[2.0出库全流程]查找</t>
        </is>
      </c>
      <c r="L21" s="139" t="n"/>
      <c r="M21" s="56" t="n"/>
      <c r="N21" s="56" t="n"/>
      <c r="Q21" s="81" t="n"/>
    </row>
    <row r="22" ht="15" customFormat="1" customHeight="1" s="126">
      <c r="A22" s="166" t="inlineStr">
        <is>
          <t>数据周期：</t>
        </is>
      </c>
      <c r="B22" s="128" t="n"/>
      <c r="C22" s="130" t="n"/>
      <c r="D22" s="167" t="inlineStr">
        <is>
          <t>实时库存数</t>
        </is>
      </c>
      <c r="E22" s="130" t="n"/>
      <c r="F22" s="168">
        <f>$A$1</f>
        <v/>
      </c>
      <c r="G22" s="169" t="inlineStr">
        <is>
          <t>00:00-24:00</t>
        </is>
      </c>
      <c r="H22" s="168">
        <f>$A$1</f>
        <v/>
      </c>
      <c r="I22" s="169" t="inlineStr">
        <is>
          <t>6:00-次日6:00</t>
        </is>
      </c>
      <c r="K22" s="136" t="n"/>
      <c r="L22" s="133" t="n"/>
      <c r="M22" s="56" t="n"/>
      <c r="N22" s="56" t="n"/>
      <c r="Q22" s="81" t="n"/>
    </row>
    <row r="23" ht="14.4" customHeight="1" s="88">
      <c r="K23" s="56" t="n"/>
      <c r="L23" s="56" t="n"/>
      <c r="M23" s="56" t="n"/>
      <c r="N23" s="56" t="n"/>
    </row>
    <row r="24" ht="14.4" customHeight="1" s="88">
      <c r="K24" s="56" t="n"/>
      <c r="L24" s="56" t="n"/>
      <c r="M24" s="56" t="n"/>
      <c r="N24" s="56" t="n"/>
    </row>
    <row r="25" ht="14.4" customHeight="1" s="88">
      <c r="K25" s="56" t="n"/>
      <c r="L25" s="56" t="n"/>
      <c r="M25" s="56" t="n"/>
      <c r="N25" s="56" t="n"/>
    </row>
    <row r="26" ht="14.4" customHeight="1" s="88">
      <c r="K26" s="56" t="n"/>
      <c r="L26" s="56" t="n"/>
      <c r="M26" s="56" t="n"/>
      <c r="N26" s="56" t="n"/>
    </row>
  </sheetData>
  <mergeCells count="55">
    <mergeCell ref="F4:G4"/>
    <mergeCell ref="F11:G11"/>
    <mergeCell ref="H20:I20"/>
    <mergeCell ref="F10:G10"/>
    <mergeCell ref="F16:G16"/>
    <mergeCell ref="H10:I10"/>
    <mergeCell ref="F19:G19"/>
    <mergeCell ref="F6:G6"/>
    <mergeCell ref="A21:C21"/>
    <mergeCell ref="H4:I4"/>
    <mergeCell ref="D22:E22"/>
    <mergeCell ref="B18:C18"/>
    <mergeCell ref="H9:I9"/>
    <mergeCell ref="K14:L15"/>
    <mergeCell ref="F7:G7"/>
    <mergeCell ref="D21:E21"/>
    <mergeCell ref="F21:G21"/>
    <mergeCell ref="F12:G12"/>
    <mergeCell ref="H21:I21"/>
    <mergeCell ref="H6:I6"/>
    <mergeCell ref="D2:E2"/>
    <mergeCell ref="F15:G15"/>
    <mergeCell ref="B4:B17"/>
    <mergeCell ref="K7:L8"/>
    <mergeCell ref="F5:G5"/>
    <mergeCell ref="F20:G20"/>
    <mergeCell ref="F18:G18"/>
    <mergeCell ref="A22:C22"/>
    <mergeCell ref="A2:A3"/>
    <mergeCell ref="F17:G17"/>
    <mergeCell ref="F8:G8"/>
    <mergeCell ref="H17:I17"/>
    <mergeCell ref="H11:I11"/>
    <mergeCell ref="H16:I16"/>
    <mergeCell ref="H7:I7"/>
    <mergeCell ref="B19:C19"/>
    <mergeCell ref="H19:I19"/>
    <mergeCell ref="F13:G13"/>
    <mergeCell ref="H13:I13"/>
    <mergeCell ref="F9:G9"/>
    <mergeCell ref="D1:I1"/>
    <mergeCell ref="K21:L22"/>
    <mergeCell ref="H12:I12"/>
    <mergeCell ref="H8:I8"/>
    <mergeCell ref="A4:A20"/>
    <mergeCell ref="A1:C1"/>
    <mergeCell ref="B2:C3"/>
    <mergeCell ref="B20:C20"/>
    <mergeCell ref="F2:G3"/>
    <mergeCell ref="H15:I15"/>
    <mergeCell ref="H18:I18"/>
    <mergeCell ref="H2:I3"/>
    <mergeCell ref="H5:I5"/>
    <mergeCell ref="F14:G14"/>
    <mergeCell ref="H14:I1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:I19"/>
    </sheetView>
  </sheetViews>
  <sheetFormatPr baseColWidth="8" defaultColWidth="8.888888888888889" defaultRowHeight="13.2"/>
  <cols>
    <col width="10.8611111111111" customWidth="1" style="88" min="1" max="2"/>
    <col width="16.712962962963" customWidth="1" style="88" min="3" max="3"/>
    <col width="11.1388888888889" customWidth="1" style="88" min="4" max="4"/>
    <col width="10.287037037037" customWidth="1" style="88" min="5" max="5"/>
    <col width="15.287037037037" customWidth="1" style="88" min="6" max="6"/>
    <col width="12.712962962963" customWidth="1" style="88" min="7" max="7"/>
    <col width="15.5740740740741" customWidth="1" style="88" min="8" max="8"/>
    <col width="14.287037037037" customWidth="1" style="88" min="9" max="9"/>
    <col width="29.712962962963" customWidth="1" style="88" min="11" max="11"/>
    <col width="29.7777777777778" customWidth="1" style="88" min="12" max="12"/>
  </cols>
  <sheetData>
    <row r="1" ht="20.4" customHeight="1" s="88">
      <c r="A1" s="127">
        <f>TODAY()-1</f>
        <v/>
      </c>
      <c r="B1" s="128" t="n"/>
      <c r="C1" s="128" t="n"/>
      <c r="D1" s="129" t="inlineStr">
        <is>
          <t>互联网中心仓库存报表</t>
        </is>
      </c>
      <c r="E1" s="128" t="n"/>
      <c r="F1" s="128" t="n"/>
      <c r="G1" s="128" t="n"/>
      <c r="H1" s="128" t="n"/>
      <c r="I1" s="130" t="n"/>
    </row>
    <row r="2" ht="15.6" customHeight="1" s="88">
      <c r="A2" s="131" t="inlineStr">
        <is>
          <t>仓库</t>
        </is>
      </c>
      <c r="B2" s="131" t="inlineStr">
        <is>
          <t>种类</t>
        </is>
      </c>
      <c r="C2" s="132" t="n"/>
      <c r="D2" s="137" t="inlineStr">
        <is>
          <t>总库存</t>
        </is>
      </c>
      <c r="E2" s="130" t="n"/>
      <c r="F2" s="137" t="inlineStr">
        <is>
          <t>今日入库</t>
        </is>
      </c>
      <c r="G2" s="139" t="n"/>
      <c r="H2" s="134" t="inlineStr">
        <is>
          <t>今日出库</t>
        </is>
      </c>
      <c r="I2" s="132" t="n"/>
    </row>
    <row r="3" ht="15.6" customHeight="1" s="88">
      <c r="A3" s="135" t="n"/>
      <c r="B3" s="136" t="n"/>
      <c r="C3" s="133" t="n"/>
      <c r="D3" s="137" t="inlineStr">
        <is>
          <t>总量</t>
        </is>
      </c>
      <c r="E3" s="137" t="inlineStr">
        <is>
          <t>SKU</t>
        </is>
      </c>
      <c r="F3" s="136" t="n"/>
      <c r="G3" s="133" t="n"/>
      <c r="H3" s="136" t="n"/>
      <c r="I3" s="133" t="n"/>
    </row>
    <row r="4" ht="15.6" customHeight="1" s="88">
      <c r="A4" s="145" t="inlineStr">
        <is>
          <t>互联网
中心仓</t>
        </is>
      </c>
      <c r="B4" s="138" t="inlineStr">
        <is>
          <t>手机</t>
        </is>
      </c>
      <c r="C4" s="146" t="inlineStr">
        <is>
          <t>总计</t>
        </is>
      </c>
      <c r="D4" s="147">
        <f>SUM(D5:D14)</f>
        <v/>
      </c>
      <c r="E4" s="147">
        <f>SUM(E5:E14)</f>
        <v/>
      </c>
      <c r="F4" s="147">
        <f>SUM(F5:F14)</f>
        <v/>
      </c>
      <c r="G4" s="130" t="n"/>
      <c r="H4" s="147">
        <f>SUM(H5:I14)</f>
        <v/>
      </c>
      <c r="I4" s="130" t="n"/>
      <c r="K4" s="148" t="inlineStr">
        <is>
          <t>中心仓库存合计（表格）</t>
        </is>
      </c>
      <c r="L4" s="37">
        <f>D4</f>
        <v/>
      </c>
    </row>
    <row r="5" ht="15.6" customHeight="1" s="88">
      <c r="A5" s="144" t="n"/>
      <c r="B5" s="144" t="n"/>
      <c r="C5" s="146" t="inlineStr">
        <is>
          <t>华为</t>
        </is>
      </c>
      <c r="D5" s="147">
        <f>SUMIFS(总库存!R:R,总库存!A:A,"互联网中心仓",总库存!B:B,"手机",总库存!U:U,C5)</f>
        <v/>
      </c>
      <c r="E5" s="147">
        <f>SUMIFS(总库存!E:E,总库存!A:A,"互联网中心仓",总库存!B:B,"手机",总库存!U:U,C5,总库存!E:E,1)</f>
        <v/>
      </c>
      <c r="F5" s="147">
        <f>SUMIFS(收货记录查询!Y:Y,收货记录查询!A:A,"互联网中心仓",收货记录查询!B:B,"手机",收货记录查询!M:M,C5,收货记录查询!C:C,$A$1)</f>
        <v/>
      </c>
      <c r="G5" s="130" t="n"/>
      <c r="H5" s="147">
        <f>SUMIFS(出库全流程!C:C,出库全流程!A:A,"互联网中心仓",出库全流程!B:B,"手机",出库全流程!W:W,C5)</f>
        <v/>
      </c>
      <c r="I5" s="130" t="n"/>
      <c r="K5" s="148" t="inlineStr">
        <is>
          <t>中心仓库存合计（明细）</t>
        </is>
      </c>
      <c r="L5" s="37">
        <f>SUMIFS(总库存!R:R,总库存!A:A,"互联网中心仓",总库存!B:B,"手机")</f>
        <v/>
      </c>
    </row>
    <row r="6" ht="15.6" customHeight="1" s="88">
      <c r="A6" s="144" t="n"/>
      <c r="B6" s="144" t="n"/>
      <c r="C6" s="146" t="inlineStr">
        <is>
          <t>小米科技</t>
        </is>
      </c>
      <c r="D6" s="147">
        <f>SUMIFS(总库存!R:R,总库存!A:A,"互联网中心仓",总库存!B:B,"手机",总库存!U:U,C6)</f>
        <v/>
      </c>
      <c r="E6" s="147">
        <f>SUMIFS(总库存!E:E,总库存!A:A,"互联网中心仓",总库存!B:B,"手机",总库存!U:U,C6,总库存!E:E,1)</f>
        <v/>
      </c>
      <c r="F6" s="147">
        <f>SUMIFS(收货记录查询!Y:Y,收货记录查询!A:A,"互联网中心仓",收货记录查询!B:B,"手机",收货记录查询!M:M,C6,收货记录查询!C:C,$A$1)</f>
        <v/>
      </c>
      <c r="G6" s="130" t="n"/>
      <c r="H6" s="147">
        <f>SUMIFS(出库全流程!C:C,出库全流程!A:A,"互联网中心仓",出库全流程!B:B,"手机",出库全流程!W:W,C6)</f>
        <v/>
      </c>
      <c r="I6" s="130" t="n"/>
      <c r="K6" s="149" t="inlineStr">
        <is>
          <t>差异数</t>
        </is>
      </c>
      <c r="L6" s="40">
        <f>L4-L5</f>
        <v/>
      </c>
    </row>
    <row r="7" ht="15.6" customHeight="1" s="88">
      <c r="A7" s="144" t="n"/>
      <c r="B7" s="144" t="n"/>
      <c r="C7" s="146" t="inlineStr">
        <is>
          <t>欧珀</t>
        </is>
      </c>
      <c r="D7" s="147">
        <f>SUMIFS(总库存!R:R,总库存!A:A,"互联网中心仓",总库存!B:B,"手机",总库存!U:U,C7)+SUMIFS(总库存!R:R,总库存!A:A,"互联网中心仓",总库存!B:B,"手机",总库存!U:U,"remax")</f>
        <v/>
      </c>
      <c r="E7" s="147">
        <f>SUMIFS(总库存!E:E,总库存!A:A,"互联网中心仓",总库存!B:B,"手机",总库存!U:U,C7,总库存!E:E,1)</f>
        <v/>
      </c>
      <c r="F7" s="147">
        <f>SUMIFS(收货记录查询!Y:Y,收货记录查询!A:A,"互联网中心仓",收货记录查询!B:B,"手机",收货记录查询!M:M,C7,收货记录查询!C:C,$A$1)+SUMIFS(收货记录查询!Y:Y,收货记录查询!A:A,"互联网中心仓",收货记录查询!B:B,"手机",收货记录查询!M:M,"remax",收货记录查询!C:C,$A$1)</f>
        <v/>
      </c>
      <c r="G7" s="130" t="n"/>
      <c r="H7" s="147">
        <f>SUMIFS(出库全流程!C:C,出库全流程!A:A,"互联网中心仓",出库全流程!B:B,"手机",出库全流程!W:W,C7)+SUMIFS(出库全流程!C:C,出库全流程!A:A,"互联网中心仓",出库全流程!B:B,"手机",出库全流程!W:W,"remax")</f>
        <v/>
      </c>
      <c r="I7" s="130" t="n"/>
      <c r="K7" s="150" t="inlineStr">
        <is>
          <t>注：如差异数不为0，则查看左侧表格是否需补充手机品牌，缺失品牌到子表[2.0总库存]查找</t>
        </is>
      </c>
      <c r="L7" s="139" t="n"/>
    </row>
    <row r="8" ht="15.6" customHeight="1" s="88">
      <c r="A8" s="144" t="n"/>
      <c r="B8" s="144" t="n"/>
      <c r="C8" s="146" t="inlineStr">
        <is>
          <t>苹果</t>
        </is>
      </c>
      <c r="D8" s="147">
        <f>SUMIFS(总库存!R:R,总库存!A:A,"互联网中心仓",总库存!B:B,"手机",总库存!U:U,C8)</f>
        <v/>
      </c>
      <c r="E8" s="147">
        <f>SUMIFS(总库存!E:E,总库存!A:A,"互联网中心仓",总库存!B:B,"手机",总库存!U:U,C8,总库存!E:E,1)</f>
        <v/>
      </c>
      <c r="F8" s="147">
        <f>SUMIFS(收货记录查询!Y:Y,收货记录查询!A:A,"互联网中心仓",收货记录查询!B:B,"手机",收货记录查询!M:M,C8,收货记录查询!C:C,$A$1)</f>
        <v/>
      </c>
      <c r="G8" s="130" t="n"/>
      <c r="H8" s="147">
        <f>SUMIFS(出库全流程!C:C,出库全流程!A:A,"互联网中心仓",出库全流程!B:B,"手机",出库全流程!W:W,C8)</f>
        <v/>
      </c>
      <c r="I8" s="130" t="n"/>
      <c r="K8" s="136" t="n"/>
      <c r="L8" s="133" t="n"/>
    </row>
    <row r="9" ht="15.6" customHeight="1" s="88">
      <c r="A9" s="144" t="n"/>
      <c r="B9" s="144" t="n"/>
      <c r="C9" s="146" t="inlineStr">
        <is>
          <t>iQOO</t>
        </is>
      </c>
      <c r="D9" s="147">
        <f>SUMIFS(总库存!R:R,总库存!A:A,"互联网中心仓",总库存!B:B,"手机",总库存!U:U,C9)</f>
        <v/>
      </c>
      <c r="E9" s="147">
        <f>SUMIFS(总库存!E:E,总库存!A:A,"互联网中心仓",总库存!B:B,"手机",总库存!U:U,C9,总库存!E:E,1)</f>
        <v/>
      </c>
      <c r="F9" s="147">
        <f>SUMIFS(收货记录查询!Y:Y,收货记录查询!A:A,"互联网中心仓",收货记录查询!B:B,"手机",收货记录查询!M:M,C9,收货记录查询!C:C,$A$1)</f>
        <v/>
      </c>
      <c r="G9" s="130" t="n"/>
      <c r="H9" s="147">
        <f>SUMIFS(出库全流程!C:C,出库全流程!A:A,"互联网中心仓",出库全流程!B:B,"手机",出库全流程!W:W,C9)</f>
        <v/>
      </c>
      <c r="I9" s="130" t="n"/>
      <c r="K9" s="177" t="n"/>
      <c r="L9" s="177" t="n"/>
    </row>
    <row r="10" ht="15.6" customHeight="1" s="88">
      <c r="A10" s="144" t="n"/>
      <c r="B10" s="144" t="n"/>
      <c r="C10" s="146" t="inlineStr">
        <is>
          <t>维沃</t>
        </is>
      </c>
      <c r="D10" s="147">
        <f>SUMIFS(总库存!R:R,总库存!A:A,"互联网中心仓",总库存!B:B,"手机",总库存!U:U,C10)</f>
        <v/>
      </c>
      <c r="E10" s="147">
        <f>SUMIFS(总库存!E:E,总库存!A:A,"互联网中心仓",总库存!B:B,"手机",总库存!U:U,C10,总库存!E:E,1)</f>
        <v/>
      </c>
      <c r="F10" s="147">
        <f>SUMIFS(收货记录查询!Y:Y,收货记录查询!A:A,"互联网中心仓",收货记录查询!B:B,"手机",收货记录查询!M:M,C10,收货记录查询!C:C,$A$1)</f>
        <v/>
      </c>
      <c r="G10" s="130" t="n"/>
      <c r="H10" s="147">
        <f>SUMIFS(出库全流程!C:C,出库全流程!A:A,"互联网中心仓",出库全流程!B:B,"手机",出库全流程!W:W,C10)</f>
        <v/>
      </c>
      <c r="I10" s="130" t="n"/>
    </row>
    <row r="11" ht="15.6" customHeight="1" s="88">
      <c r="A11" s="144" t="n"/>
      <c r="B11" s="144" t="n"/>
      <c r="C11" s="146" t="inlineStr">
        <is>
          <t>一加</t>
        </is>
      </c>
      <c r="D11" s="147">
        <f>SUMIFS(总库存!R:R,总库存!A:A,"互联网中心仓",总库存!B:B,"手机",总库存!U:U,C11)</f>
        <v/>
      </c>
      <c r="E11" s="147">
        <f>SUMIFS(总库存!E:E,总库存!A:A,"互联网中心仓",总库存!B:B,"手机",总库存!U:U,C11,总库存!E:E,1)</f>
        <v/>
      </c>
      <c r="F11" s="147">
        <f>SUMIFS(收货记录查询!Y:Y,收货记录查询!A:A,"互联网中心仓",收货记录查询!B:B,"手机",收货记录查询!M:M,C11,收货记录查询!C:C,$A$1)</f>
        <v/>
      </c>
      <c r="G11" s="130" t="n"/>
      <c r="H11" s="147">
        <f>SUMIFS(出库全流程!C:C,出库全流程!A:A,"互联网中心仓",出库全流程!B:B,"手机",出库全流程!W:W,C11)</f>
        <v/>
      </c>
      <c r="I11" s="130" t="n"/>
      <c r="K11" s="148" t="inlineStr">
        <is>
          <t>中心仓入库合计（表格）</t>
        </is>
      </c>
      <c r="L11" s="37">
        <f>F4</f>
        <v/>
      </c>
    </row>
    <row r="12" ht="15.6" customHeight="1" s="88">
      <c r="A12" s="144" t="n"/>
      <c r="B12" s="144" t="n"/>
      <c r="C12" s="146" t="inlineStr">
        <is>
          <t>荣耀</t>
        </is>
      </c>
      <c r="D12" s="147">
        <f>SUMIFS(总库存!R:R,总库存!A:A,"互联网中心仓",总库存!B:B,"手机",总库存!U:U,C12)</f>
        <v/>
      </c>
      <c r="E12" s="147">
        <f>SUMIFS(总库存!E:E,总库存!A:A,"互联网中心仓",总库存!B:B,"手机",总库存!U:U,C12,总库存!E:E,1)</f>
        <v/>
      </c>
      <c r="F12" s="147">
        <f>SUMIFS(收货记录查询!Y:Y,收货记录查询!A:A,"互联网中心仓",收货记录查询!B:B,"手机",收货记录查询!M:M,C12,收货记录查询!C:C,$A$1)</f>
        <v/>
      </c>
      <c r="G12" s="130" t="n"/>
      <c r="H12" s="147">
        <f>SUMIFS(出库全流程!C:C,出库全流程!A:A,"互联网中心仓",出库全流程!B:B,"手机",出库全流程!W:W,C12)</f>
        <v/>
      </c>
      <c r="I12" s="130" t="n"/>
      <c r="K12" s="148" t="inlineStr">
        <is>
          <t>中心仓入库合计（明细）</t>
        </is>
      </c>
      <c r="L12" s="37">
        <f>SUMIFS(收货记录查询!Y:Y,收货记录查询!A:A,"互联网中心仓",收货记录查询!B:B,"手机",收货记录查询!C:C,$A$1)</f>
        <v/>
      </c>
    </row>
    <row r="13" ht="15.6" customHeight="1" s="88">
      <c r="A13" s="144" t="n"/>
      <c r="B13" s="144" t="n"/>
      <c r="C13" s="146" t="inlineStr">
        <is>
          <t>REALME</t>
        </is>
      </c>
      <c r="D13" s="147">
        <f>SUMIFS(总库存!R:R,总库存!A:A,"互联网中心仓",总库存!B:B,"手机",总库存!U:U,C13)</f>
        <v/>
      </c>
      <c r="E13" s="147">
        <f>SUMIFS(总库存!E:E,总库存!A:A,"互联网中心仓",总库存!B:B,"手机",总库存!U:U,C13,总库存!E:E,1)</f>
        <v/>
      </c>
      <c r="F13" s="147">
        <f>SUMIFS(收货记录查询!Y:Y,收货记录查询!A:A,"互联网中心仓",收货记录查询!B:B,"手机",收货记录查询!M:M,C13,收货记录查询!C:C,$A$1)</f>
        <v/>
      </c>
      <c r="G13" s="130" t="n"/>
      <c r="H13" s="147">
        <f>SUMIFS(出库全流程!C:C,出库全流程!A:A,"互联网中心仓",出库全流程!B:B,"手机",出库全流程!W:W,C13)</f>
        <v/>
      </c>
      <c r="I13" s="130" t="n"/>
      <c r="K13" s="149" t="inlineStr">
        <is>
          <t>差异数</t>
        </is>
      </c>
      <c r="L13" s="40">
        <f>L11-L12</f>
        <v/>
      </c>
    </row>
    <row r="14" ht="15.6" customHeight="1" s="88">
      <c r="A14" s="144" t="n"/>
      <c r="B14" s="135" t="n"/>
      <c r="C14" s="146" t="inlineStr">
        <is>
          <t>中移终端公司</t>
        </is>
      </c>
      <c r="D14" s="147">
        <f>SUMIFS(总库存!R:R,总库存!A:A,"互联网中心仓",总库存!B:B,"手机",总库存!U:U,C14)</f>
        <v/>
      </c>
      <c r="E14" s="147">
        <f>SUMIFS(总库存!E:E,总库存!A:A,"互联网中心仓",总库存!B:B,"手机",总库存!U:U,C14,总库存!E:E,1)</f>
        <v/>
      </c>
      <c r="F14" s="147">
        <f>SUMIFS(收货记录查询!Y:Y,收货记录查询!A:A,"互联网中心仓",收货记录查询!B:B,"手机",收货记录查询!M:M,C14,收货记录查询!C:C,$A$1)</f>
        <v/>
      </c>
      <c r="G14" s="130" t="n"/>
      <c r="H14" s="147">
        <f>SUMIFS(出库全流程!C:C,出库全流程!A:A,"互联网中心仓",出库全流程!B:B,"手机",出库全流程!W:W,C14)</f>
        <v/>
      </c>
      <c r="I14" s="130" t="n"/>
      <c r="K14" s="150" t="inlineStr">
        <is>
          <t>注：如差异数不为0，则查看左侧表格是否需补充手机品牌，缺失品牌到子表[2.0收货记录查询]查找</t>
        </is>
      </c>
      <c r="L14" s="139" t="n"/>
    </row>
    <row r="15" ht="15.6" customHeight="1" s="88">
      <c r="A15" s="144" t="n"/>
      <c r="B15" s="146" t="inlineStr">
        <is>
          <t>多形态</t>
        </is>
      </c>
      <c r="C15" s="130" t="n"/>
      <c r="D15" s="147">
        <f>SUMIFS(总库存!R:R,总库存!A:A,"互联网中心仓",总库存!B:B,"多形态")</f>
        <v/>
      </c>
      <c r="E15" s="147">
        <f>SUMIFS(总库存!E:E,总库存!A:A,"互联网中心仓",总库存!B:B,"多形态",总库存!E:E,1)</f>
        <v/>
      </c>
      <c r="F15" s="147">
        <f>SUMIFS(收货记录查询!Y:Y,收货记录查询!A:A,"互联网中心仓",收货记录查询!B:B,"多形态",收货记录查询!C:C,$A$1)</f>
        <v/>
      </c>
      <c r="G15" s="130" t="n"/>
      <c r="H15" s="147">
        <f>SUMIFS(出库全流程!C:C,出库全流程!A:A,"互联网中心仓",出库全流程!B:B,B15)</f>
        <v/>
      </c>
      <c r="I15" s="130" t="n"/>
      <c r="K15" s="136" t="n"/>
      <c r="L15" s="133" t="n"/>
    </row>
    <row r="16" ht="15.6" customHeight="1" s="88">
      <c r="A16" s="144" t="n"/>
      <c r="B16" s="146" t="inlineStr">
        <is>
          <t>配件</t>
        </is>
      </c>
      <c r="C16" s="130" t="n"/>
      <c r="D16" s="147">
        <f>SUMIFS(总库存!R:R,总库存!A:A,"互联网中心仓",总库存!B:B,"配件")</f>
        <v/>
      </c>
      <c r="E16" s="147">
        <f>SUMIFS(总库存!E:E,总库存!A:A,"互联网中心仓",总库存!B:B,"配件",总库存!E:E,1)</f>
        <v/>
      </c>
      <c r="F16" s="147">
        <f>SUMIFS(收货记录查询!Y:Y,收货记录查询!A:A,"互联网中心仓",收货记录查询!B:B,"配件",收货记录查询!C:C,$A$1)</f>
        <v/>
      </c>
      <c r="G16" s="130" t="n"/>
      <c r="H16" s="147">
        <f>SUMIFS(出库全流程!C:C,出库全流程!A:A,"互联网中心仓",出库全流程!B:B,B16)</f>
        <v/>
      </c>
      <c r="I16" s="130" t="n"/>
    </row>
    <row r="17" ht="15.6" customHeight="1" s="88">
      <c r="A17" s="135" t="n"/>
      <c r="B17" s="146" t="inlineStr">
        <is>
          <t>促销品</t>
        </is>
      </c>
      <c r="C17" s="130" t="n"/>
      <c r="D17" s="147">
        <f>SUMIFS(总库存!R:R,总库存!A:A,"互联网中心仓",总库存!B:B,"促销品")</f>
        <v/>
      </c>
      <c r="E17" s="147">
        <f>SUMIFS(总库存!E:E,总库存!A:A,"互联网中心仓",总库存!B:B,"促销品",总库存!E:E,1)</f>
        <v/>
      </c>
      <c r="F17" s="147">
        <f>SUMIFS(收货记录查询!Y:Y,收货记录查询!A:A,"互联网中心仓",收货记录查询!B:B,"促销品",收货记录查询!C:C,$A$1)</f>
        <v/>
      </c>
      <c r="G17" s="130" t="n"/>
      <c r="H17" s="147">
        <f>SUMIFS(出库全流程!C:C,出库全流程!A:A,"互联网中心仓",出库全流程!B:B,B17)</f>
        <v/>
      </c>
      <c r="I17" s="130" t="n"/>
      <c r="K17" s="148" t="inlineStr">
        <is>
          <t>中心仓出库合计（表格）</t>
        </is>
      </c>
      <c r="L17" s="37">
        <f>H4</f>
        <v/>
      </c>
    </row>
    <row r="18" ht="15" customFormat="1" customHeight="1" s="126">
      <c r="A18" s="164" t="inlineStr">
        <is>
          <t>数据来源：</t>
        </is>
      </c>
      <c r="B18" s="128" t="n"/>
      <c r="C18" s="130" t="n"/>
      <c r="D18" s="164" t="inlineStr">
        <is>
          <t>LIS库存查询汇总</t>
        </is>
      </c>
      <c r="E18" s="130" t="n"/>
      <c r="F18" s="165" t="inlineStr">
        <is>
          <t>LIS收货记录查询</t>
        </is>
      </c>
      <c r="G18" s="139" t="n"/>
      <c r="H18" s="165" t="inlineStr">
        <is>
          <t>LIS出库全流程单据清单</t>
        </is>
      </c>
      <c r="I18" s="139" t="n"/>
      <c r="K18" s="148" t="inlineStr">
        <is>
          <t>中心仓出库合计（明细）</t>
        </is>
      </c>
      <c r="L18" s="37">
        <f>SUMIFS(出库全流程!C:C,出库全流程!A:A,"互联网中心仓",出库全流程!B:B,"手机")</f>
        <v/>
      </c>
      <c r="N18" s="81" t="n"/>
      <c r="Q18" s="81" t="n"/>
    </row>
    <row r="19" ht="15" customFormat="1" customHeight="1" s="126">
      <c r="A19" s="166" t="inlineStr">
        <is>
          <t>数据周期：</t>
        </is>
      </c>
      <c r="B19" s="128" t="n"/>
      <c r="C19" s="130" t="n"/>
      <c r="D19" s="167" t="inlineStr">
        <is>
          <t>实时库存数</t>
        </is>
      </c>
      <c r="E19" s="130" t="n"/>
      <c r="F19" s="178">
        <f>$A$1</f>
        <v/>
      </c>
      <c r="G19" s="169" t="inlineStr">
        <is>
          <t>00:00-24:00</t>
        </is>
      </c>
      <c r="H19" s="168">
        <f>$A$1</f>
        <v/>
      </c>
      <c r="I19" s="169" t="inlineStr">
        <is>
          <t>6:00-次日6:00</t>
        </is>
      </c>
      <c r="K19" s="149" t="inlineStr">
        <is>
          <t>差异数</t>
        </is>
      </c>
      <c r="L19" s="40">
        <f>L17-L18</f>
        <v/>
      </c>
      <c r="N19" s="81" t="n"/>
      <c r="Q19" s="81" t="n"/>
    </row>
    <row r="20" ht="21" customHeight="1" s="88">
      <c r="K20" s="150" t="inlineStr">
        <is>
          <t>注：如差异数不为0，则查看左侧表格是否需补充手机品牌，缺失品牌到子表[2.0出库全流程]查找</t>
        </is>
      </c>
      <c r="L20" s="139" t="n"/>
    </row>
    <row r="21">
      <c r="K21" s="136" t="n"/>
      <c r="L21" s="133" t="n"/>
    </row>
  </sheetData>
  <mergeCells count="49">
    <mergeCell ref="F4:G4"/>
    <mergeCell ref="F11:G11"/>
    <mergeCell ref="B16:C16"/>
    <mergeCell ref="F10:G10"/>
    <mergeCell ref="F16:G16"/>
    <mergeCell ref="H10:I10"/>
    <mergeCell ref="D19:E19"/>
    <mergeCell ref="A4:A17"/>
    <mergeCell ref="A18:C18"/>
    <mergeCell ref="F6:G6"/>
    <mergeCell ref="H4:I4"/>
    <mergeCell ref="H9:I9"/>
    <mergeCell ref="K14:L15"/>
    <mergeCell ref="F7:G7"/>
    <mergeCell ref="F12:G12"/>
    <mergeCell ref="H6:I6"/>
    <mergeCell ref="D2:E2"/>
    <mergeCell ref="F15:G15"/>
    <mergeCell ref="K7:L8"/>
    <mergeCell ref="F5:G5"/>
    <mergeCell ref="F18:G18"/>
    <mergeCell ref="A2:A3"/>
    <mergeCell ref="B17:C17"/>
    <mergeCell ref="F17:G17"/>
    <mergeCell ref="F8:G8"/>
    <mergeCell ref="H17:I17"/>
    <mergeCell ref="H11:I11"/>
    <mergeCell ref="A19:C19"/>
    <mergeCell ref="H16:I16"/>
    <mergeCell ref="H7:I7"/>
    <mergeCell ref="B4:B14"/>
    <mergeCell ref="K20:L21"/>
    <mergeCell ref="F13:G13"/>
    <mergeCell ref="D18:E18"/>
    <mergeCell ref="H13:I13"/>
    <mergeCell ref="F9:G9"/>
    <mergeCell ref="D1:I1"/>
    <mergeCell ref="H12:I12"/>
    <mergeCell ref="H8:I8"/>
    <mergeCell ref="B15:C15"/>
    <mergeCell ref="B2:C3"/>
    <mergeCell ref="A1:C1"/>
    <mergeCell ref="F2:G3"/>
    <mergeCell ref="H15:I15"/>
    <mergeCell ref="H18:I18"/>
    <mergeCell ref="H2:I3"/>
    <mergeCell ref="H5:I5"/>
    <mergeCell ref="F14:G14"/>
    <mergeCell ref="H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CU1"/>
  <sheetViews>
    <sheetView zoomScale="85" zoomScaleNormal="85" workbookViewId="0">
      <selection activeCell="A6" sqref="$A6:$XFD7091"/>
    </sheetView>
  </sheetViews>
  <sheetFormatPr baseColWidth="8" defaultColWidth="8.888888888888889" defaultRowHeight="13.2"/>
  <cols>
    <col width="8.888888888888889" customWidth="1" style="116" min="1" max="31"/>
    <col width="15.4259259259259" customWidth="1" style="116" min="32" max="32"/>
    <col width="8.888888888888889" customWidth="1" style="116" min="33" max="16384"/>
  </cols>
  <sheetData>
    <row r="1" ht="87" customHeight="1" s="88">
      <c r="A1" s="14" t="inlineStr">
        <is>
          <t>发货仓库</t>
        </is>
      </c>
      <c r="B1" s="14" t="inlineStr">
        <is>
          <t>移出货主</t>
        </is>
      </c>
      <c r="C1" s="14" t="inlineStr">
        <is>
          <t>移出库存地</t>
        </is>
      </c>
      <c r="D1" s="14" t="inlineStr">
        <is>
          <t>指令类型</t>
        </is>
      </c>
      <c r="E1" s="14" t="inlineStr">
        <is>
          <t>指令编号</t>
        </is>
      </c>
      <c r="F1" s="14" t="inlineStr">
        <is>
          <t>交货序号</t>
        </is>
      </c>
      <c r="G1" s="14" t="inlineStr">
        <is>
          <t>指令行号</t>
        </is>
      </c>
      <c r="H1" s="14" t="inlineStr">
        <is>
          <t>数量</t>
        </is>
      </c>
      <c r="I1" s="14" t="inlineStr">
        <is>
          <t>毛重</t>
        </is>
      </c>
      <c r="J1" s="14" t="inlineStr">
        <is>
          <t>重量单位</t>
        </is>
      </c>
      <c r="K1" s="14" t="inlineStr">
        <is>
          <t>体积</t>
        </is>
      </c>
      <c r="L1" s="14" t="inlineStr">
        <is>
          <t>指令来源</t>
        </is>
      </c>
      <c r="M1" s="14" t="inlineStr">
        <is>
          <t>指令状态</t>
        </is>
      </c>
      <c r="N1" s="14" t="inlineStr">
        <is>
          <t>接口状态</t>
        </is>
      </c>
      <c r="O1" s="14" t="inlineStr">
        <is>
          <t>是否回传签收时间</t>
        </is>
      </c>
      <c r="P1" s="14" t="inlineStr">
        <is>
          <t>是否撤单</t>
        </is>
      </c>
      <c r="Q1" s="14" t="inlineStr">
        <is>
          <t>移出物料</t>
        </is>
      </c>
      <c r="R1" s="14" t="inlineStr">
        <is>
          <t>移出物料描述</t>
        </is>
      </c>
      <c r="S1" s="14" t="inlineStr">
        <is>
          <t>厂商</t>
        </is>
      </c>
      <c r="T1" s="14" t="inlineStr">
        <is>
          <t>产品型号简称</t>
        </is>
      </c>
      <c r="U1" s="14" t="inlineStr">
        <is>
          <t>产品类别描述</t>
        </is>
      </c>
      <c r="V1" s="14" t="inlineStr">
        <is>
          <t>型号描述</t>
        </is>
      </c>
      <c r="W1" s="14" t="inlineStr">
        <is>
          <t>颜色描述</t>
        </is>
      </c>
      <c r="X1" s="14" t="inlineStr">
        <is>
          <t>物料计费类型</t>
        </is>
      </c>
      <c r="Y1" s="14" t="inlineStr">
        <is>
          <t>支付时间</t>
        </is>
      </c>
      <c r="Z1" s="14" t="inlineStr">
        <is>
          <t>波次号</t>
        </is>
      </c>
      <c r="AA1" s="14" t="inlineStr">
        <is>
          <t>拣选模式</t>
        </is>
      </c>
      <c r="AB1" s="14" t="inlineStr">
        <is>
          <t>拣货单号</t>
        </is>
      </c>
      <c r="AC1" s="14" t="inlineStr">
        <is>
          <t>播种位置</t>
        </is>
      </c>
      <c r="AD1" s="14" t="inlineStr">
        <is>
          <t>运单编号</t>
        </is>
      </c>
      <c r="AE1" s="14" t="inlineStr">
        <is>
          <t>运单创建时间</t>
        </is>
      </c>
      <c r="AF1" s="14" t="inlineStr">
        <is>
          <t>运单出库时间</t>
        </is>
      </c>
      <c r="AG1" s="14" t="inlineStr">
        <is>
          <t>快递单编号</t>
        </is>
      </c>
      <c r="AH1" s="14" t="inlineStr">
        <is>
          <t>快递子单号</t>
        </is>
      </c>
      <c r="AI1" s="14" t="inlineStr">
        <is>
          <t>承运商名称</t>
        </is>
      </c>
      <c r="AJ1" s="14" t="inlineStr">
        <is>
          <t>签收录入时间</t>
        </is>
      </c>
      <c r="AK1" s="14" t="inlineStr">
        <is>
          <t>纸质签收时间</t>
        </is>
      </c>
      <c r="AL1" s="14" t="inlineStr">
        <is>
          <t>签收人</t>
        </is>
      </c>
      <c r="AM1" s="14" t="inlineStr">
        <is>
          <t>电子签时间</t>
        </is>
      </c>
      <c r="AN1" s="14" t="inlineStr">
        <is>
          <t>签收图片上传时</t>
        </is>
      </c>
      <c r="AO1" s="14" t="inlineStr">
        <is>
          <t>运单状态</t>
        </is>
      </c>
      <c r="AP1" s="14" t="inlineStr">
        <is>
          <t>scm订单号</t>
        </is>
      </c>
      <c r="AQ1" s="14" t="inlineStr">
        <is>
          <t>指令号+行号+交货序号</t>
        </is>
      </c>
      <c r="AR1" s="14" t="inlineStr">
        <is>
          <t>物流通知</t>
        </is>
      </c>
      <c r="AS1" s="14" t="inlineStr">
        <is>
          <t>外部接口物流信息</t>
        </is>
      </c>
      <c r="AT1" s="14" t="inlineStr">
        <is>
          <t>物流对象编码</t>
        </is>
      </c>
      <c r="AU1" s="14" t="inlineStr">
        <is>
          <t>物流对象描述</t>
        </is>
      </c>
      <c r="AV1" s="14" t="inlineStr">
        <is>
          <t>售达方编号</t>
        </is>
      </c>
      <c r="AW1" s="14" t="inlineStr">
        <is>
          <t>售达方名称</t>
        </is>
      </c>
      <c r="AX1" s="14" t="inlineStr">
        <is>
          <t>零售分销标识</t>
        </is>
      </c>
      <c r="AY1" s="14" t="inlineStr">
        <is>
          <t>收货人</t>
        </is>
      </c>
      <c r="AZ1" s="14" t="inlineStr">
        <is>
          <t>电话1</t>
        </is>
      </c>
      <c r="BA1" s="14" t="inlineStr">
        <is>
          <t>省份描述</t>
        </is>
      </c>
      <c r="BB1" s="14" t="inlineStr">
        <is>
          <t>城市描述</t>
        </is>
      </c>
      <c r="BC1" s="14" t="inlineStr">
        <is>
          <t>地区描述</t>
        </is>
      </c>
      <c r="BD1" s="14" t="inlineStr">
        <is>
          <t>区县内部划分</t>
        </is>
      </c>
      <c r="BE1" s="14" t="inlineStr">
        <is>
          <t>收货地址</t>
        </is>
      </c>
      <c r="BF1" s="14" t="inlineStr">
        <is>
          <t>要求到货日期</t>
        </is>
      </c>
      <c r="BG1" s="14" t="inlineStr">
        <is>
          <t>拣配人</t>
        </is>
      </c>
      <c r="BH1" s="14" t="inlineStr">
        <is>
          <t>指令创建用户</t>
        </is>
      </c>
      <c r="BI1" s="14" t="inlineStr">
        <is>
          <t>指令下达时间</t>
        </is>
      </c>
      <c r="BJ1" s="14" t="inlineStr">
        <is>
          <t>指令修改用户</t>
        </is>
      </c>
      <c r="BK1" s="14" t="inlineStr">
        <is>
          <t>指令修改日期</t>
        </is>
      </c>
      <c r="BL1" s="14" t="inlineStr">
        <is>
          <t>是否合约机</t>
        </is>
      </c>
      <c r="BM1" s="14" t="inlineStr">
        <is>
          <t>要求发货时间</t>
        </is>
      </c>
      <c r="BN1" s="14" t="inlineStr">
        <is>
          <t>销售组织</t>
        </is>
      </c>
      <c r="BO1" s="14" t="inlineStr">
        <is>
          <t>异常消息</t>
        </is>
      </c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</row>
    <row r="2" ht="14.4" customHeight="1" s="88"/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BK1"/>
  <sheetViews>
    <sheetView topLeftCell="A665" zoomScale="70" zoomScaleNormal="70" workbookViewId="0">
      <selection activeCell="P692" sqref="A1:AG786"/>
    </sheetView>
  </sheetViews>
  <sheetFormatPr baseColWidth="8" defaultColWidth="8.888888888888889" defaultRowHeight="13.2"/>
  <cols>
    <col width="19.8611111111111" customWidth="1" style="116" min="1" max="1"/>
    <col width="8.888888888888889" customWidth="1" style="116" min="2" max="16384"/>
  </cols>
  <sheetData>
    <row r="1" ht="69.59999999999999" customHeight="1" s="88">
      <c r="A1" s="14" t="inlineStr">
        <is>
          <t>操作时间</t>
        </is>
      </c>
      <c r="B1" s="14" t="inlineStr">
        <is>
          <t>仓库</t>
        </is>
      </c>
      <c r="C1" s="14" t="inlineStr">
        <is>
          <t>货主</t>
        </is>
      </c>
      <c r="D1" s="14" t="inlineStr">
        <is>
          <t>库存地点</t>
        </is>
      </c>
      <c r="E1" s="14" t="inlineStr">
        <is>
          <t>指令编号</t>
        </is>
      </c>
      <c r="F1" s="14" t="inlineStr">
        <is>
          <t>指令行项</t>
        </is>
      </c>
      <c r="G1" s="14" t="inlineStr">
        <is>
          <t>物料编码</t>
        </is>
      </c>
      <c r="H1" s="14" t="inlineStr">
        <is>
          <t>物料描述</t>
        </is>
      </c>
      <c r="I1" s="14" t="inlineStr">
        <is>
          <t>厂商</t>
        </is>
      </c>
      <c r="J1" s="14" t="inlineStr">
        <is>
          <t>产品型号简称</t>
        </is>
      </c>
      <c r="K1" s="14" t="inlineStr">
        <is>
          <t>物料计费类型</t>
        </is>
      </c>
      <c r="L1" s="14" t="inlineStr">
        <is>
          <t>确认状态</t>
        </is>
      </c>
      <c r="M1" s="14" t="inlineStr">
        <is>
          <t>移动方向</t>
        </is>
      </c>
      <c r="N1" s="14" t="inlineStr">
        <is>
          <t>移动类型</t>
        </is>
      </c>
      <c r="O1" s="14" t="inlineStr">
        <is>
          <t>特殊库存</t>
        </is>
      </c>
      <c r="P1" s="14" t="inlineStr">
        <is>
          <t>特殊库存编号</t>
        </is>
      </c>
      <c r="Q1" s="14" t="inlineStr">
        <is>
          <t>批次号</t>
        </is>
      </c>
      <c r="R1" s="14" t="inlineStr">
        <is>
          <t>目的存储类型</t>
        </is>
      </c>
      <c r="S1" s="14" t="inlineStr">
        <is>
          <t>目的仓位</t>
        </is>
      </c>
      <c r="T1" s="14" t="inlineStr">
        <is>
          <t>目的存储单元编号</t>
        </is>
      </c>
      <c r="U1" s="14" t="inlineStr">
        <is>
          <t>源数量</t>
        </is>
      </c>
      <c r="V1" s="14" t="inlineStr">
        <is>
          <t>确认数量</t>
        </is>
      </c>
      <c r="W1" s="14" t="inlineStr">
        <is>
          <t>确认差异数量</t>
        </is>
      </c>
      <c r="X1" s="14" t="inlineStr">
        <is>
          <t>单位</t>
        </is>
      </c>
      <c r="Y1" s="14" t="inlineStr">
        <is>
          <t>用户</t>
        </is>
      </c>
      <c r="Z1" s="14" t="inlineStr">
        <is>
          <t>供应商</t>
        </is>
      </c>
      <c r="AA1" s="14" t="inlineStr">
        <is>
          <t>转储需求编号</t>
        </is>
      </c>
      <c r="AB1" s="14" t="inlineStr">
        <is>
          <t>订单号</t>
        </is>
      </c>
      <c r="AC1" s="14" t="inlineStr">
        <is>
          <t>采购订单行号</t>
        </is>
      </c>
      <c r="AD1" s="14" t="inlineStr">
        <is>
          <t>修改日期</t>
        </is>
      </c>
      <c r="AE1" s="14" t="inlineStr">
        <is>
          <t>修改用户</t>
        </is>
      </c>
      <c r="AF1" s="14" t="inlineStr">
        <is>
          <t>创建日期</t>
        </is>
      </c>
      <c r="AG1" s="14" t="inlineStr">
        <is>
          <t>创建用户</t>
        </is>
      </c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</row>
    <row r="2" ht="14.4" customHeight="1" s="88"/>
    <row r="3" ht="14.4" customHeight="1" s="88"/>
    <row r="4" ht="14.4" customHeight="1" s="88"/>
    <row r="5" ht="14.4" customHeight="1" s="88"/>
    <row r="6" ht="14.4" customHeight="1" s="88"/>
    <row r="7" ht="14.4" customHeight="1" s="88"/>
    <row r="8" ht="14.4" customHeight="1" s="88"/>
    <row r="9" ht="14.4" customHeight="1" s="88"/>
    <row r="10" ht="14.4" customHeight="1" s="88"/>
    <row r="11" ht="14.4" customHeight="1" s="88"/>
    <row r="12" ht="14.4" customHeight="1" s="88"/>
    <row r="13" ht="14.4" customHeight="1" s="88"/>
    <row r="14" ht="14.4" customHeight="1" s="88"/>
    <row r="15" ht="14.4" customHeight="1" s="88"/>
    <row r="16" ht="14.4" customHeight="1" s="88"/>
    <row r="17" ht="14.4" customHeight="1" s="88"/>
    <row r="18" ht="14.4" customHeight="1" s="88"/>
    <row r="19" ht="14.4" customHeight="1" s="88"/>
    <row r="20" ht="14.4" customHeight="1" s="88"/>
    <row r="21" ht="14.4" customHeight="1" s="88"/>
    <row r="22" ht="14.4" customHeight="1" s="88"/>
    <row r="23" ht="14.4" customHeight="1" s="88"/>
    <row r="24" ht="14.4" customHeight="1" s="88"/>
    <row r="25" ht="14.4" customHeight="1" s="88"/>
    <row r="26" ht="14.4" customHeight="1" s="88"/>
    <row r="27" ht="14.4" customHeight="1" s="88"/>
    <row r="28" ht="14.4" customHeight="1" s="88"/>
    <row r="29" ht="14.4" customHeight="1" s="88"/>
    <row r="30" ht="14.4" customHeight="1" s="88"/>
    <row r="31" ht="14.4" customHeight="1" s="88"/>
    <row r="32" ht="14.4" customHeight="1" s="88"/>
    <row r="33" ht="14.4" customHeight="1" s="88"/>
    <row r="34" ht="14.4" customHeight="1" s="88"/>
    <row r="35" ht="14.4" customHeight="1" s="88"/>
    <row r="36" ht="14.4" customHeight="1" s="88"/>
    <row r="37" ht="14.4" customHeight="1" s="88"/>
    <row r="38" ht="14.4" customHeight="1" s="88"/>
    <row r="39" ht="14.4" customHeight="1" s="88"/>
    <row r="40" ht="14.4" customHeight="1" s="88"/>
    <row r="41" ht="14.4" customHeight="1" s="88"/>
    <row r="42" ht="14.4" customHeight="1" s="88"/>
    <row r="43" ht="14.4" customHeight="1" s="88"/>
    <row r="44" ht="14.4" customHeight="1" s="88"/>
    <row r="45" ht="14.4" customHeight="1" s="88"/>
    <row r="46" ht="14.4" customHeight="1" s="88"/>
    <row r="47" ht="14.4" customHeight="1" s="88"/>
    <row r="48" ht="14.4" customHeight="1" s="88"/>
    <row r="49" ht="14.4" customHeight="1" s="88"/>
    <row r="50" ht="14.4" customHeight="1" s="88"/>
    <row r="51" ht="14.4" customHeight="1" s="88"/>
    <row r="52" ht="14.4" customHeight="1" s="88"/>
    <row r="53" ht="14.4" customHeight="1" s="88"/>
    <row r="54" ht="14.4" customHeight="1" s="88"/>
    <row r="55" ht="14.4" customHeight="1" s="88"/>
    <row r="56" ht="14.4" customHeight="1" s="88"/>
    <row r="57" ht="14.4" customHeight="1" s="88"/>
    <row r="58" ht="14.4" customHeight="1" s="88"/>
    <row r="59" ht="14.4" customHeight="1" s="88"/>
    <row r="60" ht="14.4" customHeight="1" s="88"/>
    <row r="61" ht="14.4" customHeight="1" s="88"/>
    <row r="62" ht="14.4" customHeight="1" s="88"/>
    <row r="63" ht="14.4" customHeight="1" s="88"/>
    <row r="64" ht="14.4" customHeight="1" s="88"/>
    <row r="65" ht="14.4" customHeight="1" s="88"/>
    <row r="66" ht="14.4" customHeight="1" s="88"/>
    <row r="67" ht="14.4" customHeight="1" s="88"/>
    <row r="68" ht="14.4" customHeight="1" s="88"/>
    <row r="69" ht="14.4" customHeight="1" s="88"/>
    <row r="70" ht="14.4" customHeight="1" s="88"/>
    <row r="71" ht="14.4" customHeight="1" s="88"/>
    <row r="72" ht="14.4" customHeight="1" s="88"/>
    <row r="73" ht="14.4" customHeight="1" s="88"/>
    <row r="74" ht="14.4" customHeight="1" s="88"/>
    <row r="75" ht="14.4" customHeight="1" s="88"/>
    <row r="76" ht="14.4" customHeight="1" s="88"/>
    <row r="77" ht="14.4" customHeight="1" s="88"/>
    <row r="78" ht="14.4" customHeight="1" s="88"/>
    <row r="79" ht="14.4" customHeight="1" s="88"/>
    <row r="80" ht="14.4" customHeight="1" s="88"/>
    <row r="81" ht="14.4" customHeight="1" s="88"/>
    <row r="82" ht="14.4" customHeight="1" s="88"/>
    <row r="83" ht="14.4" customHeight="1" s="88"/>
    <row r="84" ht="14.4" customHeight="1" s="88"/>
    <row r="85" ht="14.4" customHeight="1" s="88"/>
    <row r="86" ht="14.4" customHeight="1" s="88"/>
    <row r="87" ht="14.4" customHeight="1" s="88"/>
    <row r="88" ht="14.4" customHeight="1" s="88"/>
    <row r="89" ht="14.4" customHeight="1" s="88"/>
    <row r="90" ht="14.4" customHeight="1" s="88"/>
    <row r="91" ht="14.4" customHeight="1" s="88"/>
    <row r="92" ht="14.4" customHeight="1" s="88"/>
    <row r="93" ht="14.4" customHeight="1" s="88"/>
    <row r="94" ht="14.4" customHeight="1" s="88"/>
    <row r="95" ht="14.4" customHeight="1" s="88"/>
    <row r="96" ht="14.4" customHeight="1" s="88"/>
    <row r="97" ht="14.4" customHeight="1" s="88"/>
    <row r="98" ht="14.4" customHeight="1" s="88"/>
    <row r="99" ht="14.4" customHeight="1" s="88"/>
    <row r="100" ht="14.4" customHeight="1" s="88"/>
    <row r="101" ht="14.4" customHeight="1" s="88"/>
    <row r="102" ht="14.4" customHeight="1" s="88"/>
    <row r="103" ht="14.4" customHeight="1" s="88"/>
    <row r="104" ht="14.4" customHeight="1" s="88"/>
    <row r="105" ht="14.4" customHeight="1" s="88"/>
    <row r="106" ht="14.4" customHeight="1" s="88"/>
    <row r="107" ht="14.4" customHeight="1" s="88"/>
    <row r="108" ht="14.4" customHeight="1" s="88"/>
    <row r="109" ht="14.4" customHeight="1" s="88"/>
    <row r="110" ht="14.4" customHeight="1" s="88"/>
    <row r="111" ht="14.4" customHeight="1" s="88"/>
    <row r="112" ht="14.4" customHeight="1" s="88"/>
    <row r="113" ht="14.4" customHeight="1" s="88"/>
    <row r="114" ht="14.4" customHeight="1" s="88"/>
    <row r="115" ht="14.4" customHeight="1" s="88"/>
    <row r="116" ht="14.4" customHeight="1" s="88"/>
    <row r="117" ht="14.4" customHeight="1" s="88"/>
    <row r="118" ht="14.4" customHeight="1" s="88"/>
    <row r="119" ht="14.4" customHeight="1" s="88"/>
    <row r="120" ht="14.4" customHeight="1" s="88"/>
    <row r="121" ht="14.4" customHeight="1" s="88"/>
    <row r="122" ht="14.4" customHeight="1" s="88"/>
    <row r="123" ht="14.4" customHeight="1" s="88"/>
    <row r="124" ht="14.4" customHeight="1" s="88"/>
    <row r="125" ht="14.4" customHeight="1" s="88"/>
    <row r="126" ht="14.4" customHeight="1" s="88"/>
    <row r="127" ht="14.4" customHeight="1" s="88"/>
    <row r="128" ht="14.4" customHeight="1" s="88"/>
    <row r="129" ht="14.4" customHeight="1" s="88"/>
    <row r="130" ht="14.4" customHeight="1" s="88"/>
    <row r="131" ht="14.4" customHeight="1" s="88"/>
    <row r="132" ht="14.4" customHeight="1" s="88"/>
    <row r="133" ht="14.4" customHeight="1" s="88"/>
    <row r="134" ht="14.4" customHeight="1" s="88"/>
    <row r="135" ht="14.4" customHeight="1" s="88"/>
    <row r="136" ht="14.4" customHeight="1" s="88"/>
    <row r="137" ht="14.4" customHeight="1" s="88"/>
    <row r="138" ht="14.4" customHeight="1" s="88"/>
    <row r="139" ht="14.4" customHeight="1" s="88"/>
    <row r="140" ht="14.4" customHeight="1" s="88"/>
    <row r="141" ht="14.4" customHeight="1" s="88"/>
    <row r="142" ht="14.4" customHeight="1" s="88"/>
    <row r="143" ht="14.4" customHeight="1" s="88"/>
    <row r="144" ht="14.4" customHeight="1" s="88"/>
    <row r="145" ht="14.4" customHeight="1" s="88"/>
    <row r="146" ht="14.4" customHeight="1" s="88"/>
    <row r="147" ht="14.4" customHeight="1" s="88"/>
    <row r="148" ht="14.4" customHeight="1" s="88"/>
    <row r="149" ht="14.4" customHeight="1" s="88"/>
    <row r="150" ht="14.4" customHeight="1" s="88"/>
    <row r="151" ht="14.4" customHeight="1" s="88"/>
    <row r="152" ht="14.4" customHeight="1" s="88"/>
    <row r="153" ht="14.4" customHeight="1" s="88"/>
    <row r="154" ht="14.4" customHeight="1" s="88"/>
    <row r="155" ht="14.4" customHeight="1" s="88"/>
    <row r="156" ht="14.4" customHeight="1" s="88"/>
    <row r="157" ht="14.4" customHeight="1" s="88"/>
    <row r="158" ht="14.4" customHeight="1" s="88"/>
    <row r="159" ht="14.4" customHeight="1" s="88"/>
    <row r="160" ht="14.4" customHeight="1" s="88"/>
    <row r="161" ht="14.4" customHeight="1" s="88"/>
    <row r="162" ht="14.4" customHeight="1" s="88"/>
    <row r="163" ht="14.4" customHeight="1" s="88"/>
    <row r="164" ht="14.4" customHeight="1" s="88"/>
    <row r="165" ht="14.4" customHeight="1" s="88"/>
    <row r="166" ht="14.4" customHeight="1" s="88"/>
    <row r="167" ht="14.4" customHeight="1" s="88"/>
    <row r="168" ht="14.4" customHeight="1" s="88"/>
    <row r="169" ht="14.4" customHeight="1" s="88"/>
    <row r="170" ht="14.4" customHeight="1" s="88"/>
    <row r="171" ht="14.4" customHeight="1" s="88"/>
    <row r="172" ht="14.4" customHeight="1" s="88"/>
    <row r="173" ht="14.4" customHeight="1" s="88"/>
    <row r="174" ht="14.4" customHeight="1" s="88"/>
    <row r="175" ht="14.4" customHeight="1" s="88"/>
    <row r="176" ht="14.4" customHeight="1" s="88"/>
    <row r="177" ht="14.4" customHeight="1" s="88"/>
    <row r="178" ht="14.4" customHeight="1" s="88"/>
    <row r="179" ht="14.4" customHeight="1" s="88"/>
    <row r="180" ht="14.4" customHeight="1" s="88"/>
    <row r="181" ht="14.4" customHeight="1" s="88"/>
    <row r="182" ht="14.4" customHeight="1" s="88"/>
    <row r="183" ht="14.4" customHeight="1" s="88"/>
    <row r="184" ht="14.4" customHeight="1" s="88"/>
    <row r="185" ht="14.4" customHeight="1" s="88"/>
    <row r="186" ht="14.4" customHeight="1" s="88"/>
    <row r="187" ht="14.4" customHeight="1" s="88"/>
    <row r="188" ht="14.4" customHeight="1" s="88"/>
    <row r="189" ht="14.4" customHeight="1" s="88"/>
    <row r="190" ht="14.4" customHeight="1" s="88"/>
    <row r="191" ht="14.4" customHeight="1" s="88"/>
    <row r="192" ht="14.4" customHeight="1" s="88"/>
    <row r="193" ht="14.4" customHeight="1" s="88"/>
    <row r="194" ht="14.4" customHeight="1" s="88"/>
    <row r="195" ht="14.4" customHeight="1" s="88"/>
    <row r="196" ht="14.4" customHeight="1" s="88"/>
    <row r="197" ht="14.4" customHeight="1" s="88"/>
    <row r="198" ht="14.4" customHeight="1" s="88"/>
    <row r="199" ht="14.4" customHeight="1" s="88"/>
    <row r="200" ht="14.4" customHeight="1" s="88"/>
    <row r="201" ht="14.4" customHeight="1" s="88"/>
    <row r="202" ht="14.4" customHeight="1" s="88"/>
    <row r="203" ht="14.4" customHeight="1" s="88"/>
    <row r="204" ht="14.4" customHeight="1" s="88"/>
    <row r="205" ht="14.4" customHeight="1" s="88"/>
    <row r="206" ht="14.4" customHeight="1" s="88"/>
    <row r="207" ht="14.4" customHeight="1" s="88"/>
    <row r="208" ht="14.4" customHeight="1" s="88"/>
    <row r="209" ht="14.4" customHeight="1" s="88"/>
    <row r="210" ht="14.4" customHeight="1" s="88"/>
    <row r="211" ht="14.4" customHeight="1" s="88"/>
    <row r="212" ht="14.4" customHeight="1" s="88"/>
    <row r="213" ht="14.4" customHeight="1" s="88"/>
    <row r="214" ht="14.4" customHeight="1" s="88"/>
    <row r="215" ht="14.4" customHeight="1" s="88"/>
    <row r="216" ht="14.4" customHeight="1" s="88"/>
    <row r="217" ht="14.4" customHeight="1" s="88"/>
    <row r="218" ht="14.4" customHeight="1" s="88"/>
    <row r="219" ht="14.4" customHeight="1" s="88"/>
    <row r="220" ht="14.4" customHeight="1" s="88"/>
    <row r="221" ht="14.4" customHeight="1" s="88"/>
    <row r="222" ht="14.4" customHeight="1" s="88"/>
    <row r="223" ht="14.4" customHeight="1" s="88"/>
    <row r="224" ht="14.4" customHeight="1" s="88"/>
    <row r="225" ht="14.4" customHeight="1" s="88"/>
    <row r="226" ht="14.4" customHeight="1" s="88"/>
    <row r="227" ht="14.4" customHeight="1" s="88"/>
    <row r="228" ht="14.4" customHeight="1" s="88"/>
    <row r="229" ht="14.4" customHeight="1" s="88"/>
    <row r="230" ht="14.4" customHeight="1" s="88"/>
    <row r="231" ht="14.4" customHeight="1" s="88"/>
    <row r="232" ht="14.4" customHeight="1" s="88"/>
    <row r="233" ht="14.4" customHeight="1" s="88"/>
    <row r="234" ht="14.4" customHeight="1" s="88"/>
    <row r="235" ht="14.4" customHeight="1" s="88"/>
    <row r="236" ht="14.4" customHeight="1" s="88"/>
    <row r="237" ht="14.4" customHeight="1" s="88"/>
    <row r="238" ht="14.4" customHeight="1" s="88"/>
    <row r="239" ht="14.4" customHeight="1" s="88"/>
    <row r="240" ht="14.4" customHeight="1" s="88"/>
    <row r="241" ht="14.4" customHeight="1" s="88"/>
    <row r="242" ht="14.4" customHeight="1" s="88"/>
    <row r="243" ht="14.4" customHeight="1" s="88"/>
    <row r="244" ht="14.4" customHeight="1" s="88"/>
    <row r="245" ht="14.4" customHeight="1" s="88"/>
    <row r="246" ht="14.4" customHeight="1" s="88"/>
    <row r="247" ht="14.4" customHeight="1" s="88"/>
    <row r="248" ht="14.4" customHeight="1" s="88"/>
    <row r="249" ht="14.4" customHeight="1" s="88"/>
    <row r="250" ht="14.4" customHeight="1" s="88"/>
    <row r="251" ht="14.4" customHeight="1" s="88"/>
    <row r="252" ht="14.4" customHeight="1" s="88"/>
    <row r="253" ht="14.4" customHeight="1" s="88"/>
    <row r="254" ht="14.4" customHeight="1" s="88"/>
    <row r="255" ht="14.4" customHeight="1" s="88"/>
    <row r="256" ht="14.4" customHeight="1" s="88"/>
    <row r="257" ht="14.4" customHeight="1" s="88"/>
    <row r="258" ht="14.4" customHeight="1" s="88"/>
    <row r="259" ht="14.4" customHeight="1" s="88"/>
    <row r="260" ht="14.4" customHeight="1" s="88"/>
    <row r="261" ht="14.4" customHeight="1" s="88"/>
    <row r="262" ht="14.4" customHeight="1" s="88"/>
    <row r="263" ht="14.4" customHeight="1" s="88"/>
    <row r="264" ht="14.4" customHeight="1" s="88"/>
    <row r="265" ht="14.4" customHeight="1" s="88"/>
    <row r="266" ht="14.4" customHeight="1" s="88"/>
    <row r="267" ht="14.4" customHeight="1" s="88"/>
    <row r="268" ht="14.4" customHeight="1" s="88"/>
    <row r="269" ht="14.4" customHeight="1" s="88"/>
    <row r="270" ht="14.4" customHeight="1" s="88"/>
    <row r="271" ht="14.4" customHeight="1" s="88"/>
    <row r="272" ht="14.4" customHeight="1" s="88"/>
    <row r="273" ht="14.4" customHeight="1" s="88"/>
    <row r="274" ht="14.4" customHeight="1" s="88"/>
    <row r="275" ht="14.4" customHeight="1" s="88"/>
    <row r="276" ht="14.4" customHeight="1" s="88"/>
    <row r="277" ht="14.4" customHeight="1" s="88"/>
    <row r="278" ht="14.4" customHeight="1" s="88"/>
    <row r="279" ht="14.4" customHeight="1" s="88"/>
    <row r="280" ht="14.4" customHeight="1" s="88"/>
    <row r="281" ht="14.4" customHeight="1" s="88"/>
    <row r="282" ht="14.4" customHeight="1" s="88"/>
    <row r="283" ht="14.4" customHeight="1" s="88"/>
    <row r="284" ht="14.4" customHeight="1" s="88"/>
    <row r="285" ht="14.4" customHeight="1" s="88"/>
    <row r="286" ht="14.4" customHeight="1" s="88"/>
    <row r="287" ht="14.4" customHeight="1" s="88"/>
    <row r="288" ht="14.4" customHeight="1" s="88"/>
    <row r="289" ht="14.4" customHeight="1" s="88"/>
    <row r="290" ht="14.4" customHeight="1" s="88"/>
    <row r="291" ht="14.4" customHeight="1" s="88"/>
    <row r="292" ht="14.4" customHeight="1" s="88"/>
    <row r="293" ht="14.4" customHeight="1" s="88"/>
    <row r="294" ht="14.4" customHeight="1" s="88"/>
    <row r="295" ht="14.4" customHeight="1" s="88"/>
    <row r="296" ht="14.4" customHeight="1" s="88"/>
    <row r="297" ht="14.4" customHeight="1" s="88"/>
    <row r="298" ht="14.4" customHeight="1" s="88"/>
    <row r="299" ht="14.4" customHeight="1" s="88"/>
    <row r="300" ht="14.4" customHeight="1" s="88"/>
    <row r="301" ht="14.4" customHeight="1" s="88"/>
    <row r="302" ht="14.4" customHeight="1" s="88"/>
    <row r="303" ht="14.4" customHeight="1" s="88"/>
    <row r="304" ht="14.4" customHeight="1" s="88"/>
    <row r="305" ht="14.4" customHeight="1" s="88"/>
    <row r="306" ht="14.4" customHeight="1" s="88"/>
    <row r="307" ht="14.4" customHeight="1" s="88"/>
    <row r="308" ht="14.4" customHeight="1" s="88"/>
    <row r="309" ht="14.4" customHeight="1" s="88"/>
    <row r="310" ht="14.4" customHeight="1" s="88"/>
    <row r="311" ht="14.4" customHeight="1" s="88"/>
    <row r="312" ht="14.4" customHeight="1" s="88"/>
    <row r="313" ht="14.4" customHeight="1" s="88"/>
    <row r="314" ht="14.4" customHeight="1" s="88"/>
    <row r="315" ht="14.4" customHeight="1" s="88"/>
    <row r="316" ht="14.4" customHeight="1" s="88"/>
    <row r="317" ht="14.4" customHeight="1" s="88"/>
    <row r="318" ht="14.4" customHeight="1" s="88"/>
    <row r="319" ht="14.4" customHeight="1" s="88"/>
    <row r="320" ht="14.4" customHeight="1" s="88"/>
    <row r="321" ht="14.4" customHeight="1" s="88"/>
    <row r="322" ht="14.4" customHeight="1" s="88"/>
    <row r="323" ht="14.4" customHeight="1" s="88"/>
    <row r="324" ht="14.4" customHeight="1" s="88"/>
    <row r="325" ht="14.4" customHeight="1" s="88"/>
    <row r="326" ht="14.4" customHeight="1" s="88"/>
    <row r="327" ht="14.4" customHeight="1" s="88"/>
    <row r="328" ht="14.4" customHeight="1" s="88"/>
    <row r="329" ht="14.4" customHeight="1" s="88"/>
    <row r="330" ht="14.4" customHeight="1" s="88"/>
    <row r="331" ht="14.4" customHeight="1" s="88"/>
    <row r="332" ht="14.4" customHeight="1" s="88"/>
    <row r="333" ht="14.4" customHeight="1" s="88"/>
    <row r="334" ht="14.4" customHeight="1" s="88"/>
    <row r="335" ht="14.4" customHeight="1" s="88"/>
    <row r="336" ht="14.4" customHeight="1" s="88"/>
    <row r="337" ht="14.4" customHeight="1" s="88"/>
    <row r="338" ht="14.4" customHeight="1" s="88"/>
    <row r="339" ht="14.4" customHeight="1" s="88"/>
    <row r="340" ht="14.4" customHeight="1" s="88"/>
    <row r="341" ht="14.4" customHeight="1" s="88"/>
    <row r="342" ht="14.4" customHeight="1" s="88"/>
    <row r="343" ht="14.4" customHeight="1" s="88"/>
    <row r="344" ht="14.4" customHeight="1" s="88"/>
    <row r="345" ht="14.4" customHeight="1" s="88"/>
    <row r="346" ht="14.4" customHeight="1" s="88"/>
    <row r="347" ht="14.4" customHeight="1" s="88"/>
    <row r="348" ht="14.4" customHeight="1" s="88"/>
    <row r="349" ht="14.4" customHeight="1" s="88"/>
    <row r="350" ht="14.4" customHeight="1" s="88"/>
    <row r="351" ht="14.4" customHeight="1" s="88"/>
    <row r="352" ht="14.4" customHeight="1" s="88"/>
    <row r="353" ht="14.4" customHeight="1" s="88"/>
    <row r="354" ht="14.4" customHeight="1" s="88"/>
    <row r="355" ht="14.4" customHeight="1" s="88"/>
    <row r="356" ht="14.4" customHeight="1" s="88"/>
    <row r="357" ht="14.4" customHeight="1" s="88"/>
    <row r="358" ht="14.4" customHeight="1" s="88"/>
    <row r="359" ht="14.4" customHeight="1" s="88"/>
    <row r="360" ht="14.4" customHeight="1" s="88"/>
    <row r="361" ht="14.4" customHeight="1" s="88"/>
    <row r="362" ht="14.4" customHeight="1" s="88"/>
    <row r="363" ht="14.4" customHeight="1" s="88"/>
    <row r="364" ht="14.4" customHeight="1" s="88"/>
    <row r="365" ht="14.4" customHeight="1" s="88"/>
    <row r="366" ht="14.4" customHeight="1" s="88"/>
    <row r="367" ht="14.4" customHeight="1" s="88"/>
    <row r="368" ht="14.4" customHeight="1" s="88"/>
    <row r="369" ht="14.4" customHeight="1" s="88"/>
    <row r="370" ht="14.4" customHeight="1" s="88"/>
    <row r="371" ht="14.4" customHeight="1" s="88"/>
    <row r="372" ht="14.4" customHeight="1" s="88"/>
    <row r="373" ht="14.4" customHeight="1" s="88"/>
    <row r="374" ht="14.4" customHeight="1" s="88"/>
    <row r="375" ht="14.4" customHeight="1" s="88"/>
    <row r="376" ht="14.4" customHeight="1" s="88"/>
    <row r="377" ht="14.4" customHeight="1" s="88"/>
    <row r="378" ht="14.4" customHeight="1" s="88"/>
    <row r="379" ht="14.4" customHeight="1" s="88"/>
    <row r="380" ht="14.4" customHeight="1" s="88"/>
    <row r="381" ht="14.4" customHeight="1" s="88"/>
    <row r="382" ht="14.4" customHeight="1" s="88"/>
    <row r="383" ht="14.4" customHeight="1" s="88"/>
    <row r="384" ht="14.4" customHeight="1" s="88"/>
    <row r="385" ht="14.4" customHeight="1" s="88"/>
    <row r="386" ht="14.4" customHeight="1" s="88"/>
    <row r="387" ht="14.4" customHeight="1" s="88"/>
    <row r="388" ht="14.4" customHeight="1" s="88"/>
    <row r="389" ht="14.4" customHeight="1" s="88"/>
    <row r="390" ht="14.4" customHeight="1" s="88"/>
    <row r="391" ht="14.4" customHeight="1" s="88"/>
    <row r="392" ht="14.4" customHeight="1" s="88"/>
    <row r="393" ht="14.4" customHeight="1" s="88"/>
    <row r="394" ht="14.4" customHeight="1" s="88"/>
    <row r="395" ht="14.4" customHeight="1" s="88"/>
    <row r="396" ht="14.4" customHeight="1" s="88"/>
    <row r="397" ht="14.4" customHeight="1" s="88"/>
    <row r="398" ht="14.4" customHeight="1" s="88"/>
    <row r="399" ht="14.4" customHeight="1" s="88"/>
    <row r="400" ht="14.4" customHeight="1" s="88"/>
    <row r="401" ht="14.4" customHeight="1" s="88"/>
    <row r="402" ht="14.4" customHeight="1" s="88"/>
    <row r="403" ht="14.4" customHeight="1" s="88"/>
    <row r="404" ht="14.4" customHeight="1" s="88"/>
    <row r="405" ht="14.4" customHeight="1" s="88"/>
    <row r="406" ht="14.4" customHeight="1" s="88"/>
    <row r="407" ht="14.4" customHeight="1" s="88"/>
    <row r="408" ht="14.4" customHeight="1" s="88"/>
    <row r="409" ht="14.4" customHeight="1" s="88"/>
    <row r="410" ht="14.4" customHeight="1" s="88"/>
    <row r="411" ht="14.4" customHeight="1" s="88"/>
    <row r="412" ht="14.4" customHeight="1" s="88"/>
    <row r="413" ht="14.4" customHeight="1" s="88"/>
    <row r="414" ht="14.4" customHeight="1" s="88"/>
    <row r="415" ht="14.4" customHeight="1" s="88"/>
    <row r="416" ht="14.4" customHeight="1" s="88"/>
    <row r="417" ht="14.4" customHeight="1" s="88"/>
    <row r="418" ht="14.4" customHeight="1" s="88"/>
    <row r="419" ht="14.4" customHeight="1" s="88"/>
    <row r="420" ht="14.4" customHeight="1" s="88"/>
    <row r="421" ht="14.4" customHeight="1" s="88"/>
    <row r="422" ht="14.4" customHeight="1" s="88"/>
    <row r="423" ht="14.4" customHeight="1" s="88"/>
    <row r="424" ht="14.4" customHeight="1" s="88"/>
    <row r="425" ht="14.4" customHeight="1" s="88"/>
    <row r="426" ht="14.4" customHeight="1" s="88"/>
    <row r="427" ht="14.4" customHeight="1" s="88"/>
    <row r="428" ht="14.4" customHeight="1" s="88"/>
    <row r="429" ht="14.4" customHeight="1" s="88"/>
    <row r="430" ht="14.4" customHeight="1" s="88"/>
    <row r="431" ht="14.4" customHeight="1" s="88"/>
    <row r="432" ht="14.4" customHeight="1" s="88"/>
    <row r="433" ht="14.4" customHeight="1" s="88"/>
    <row r="434" ht="14.4" customHeight="1" s="88"/>
    <row r="435" ht="14.4" customHeight="1" s="88"/>
    <row r="436" ht="14.4" customHeight="1" s="88"/>
    <row r="437" ht="14.4" customHeight="1" s="88"/>
    <row r="438" ht="14.4" customHeight="1" s="88"/>
    <row r="439" ht="14.4" customHeight="1" s="88"/>
    <row r="440" ht="14.4" customHeight="1" s="88"/>
    <row r="441" ht="14.4" customHeight="1" s="88"/>
    <row r="442" ht="14.4" customHeight="1" s="88"/>
    <row r="443" ht="14.4" customHeight="1" s="88"/>
    <row r="444" ht="14.4" customHeight="1" s="88"/>
    <row r="445" ht="14.4" customHeight="1" s="88"/>
    <row r="446" ht="14.4" customHeight="1" s="88"/>
    <row r="447" ht="14.4" customHeight="1" s="88"/>
    <row r="448" ht="14.4" customHeight="1" s="88"/>
    <row r="449" ht="14.4" customHeight="1" s="88"/>
    <row r="450" ht="14.4" customHeight="1" s="88"/>
    <row r="451" ht="14.4" customHeight="1" s="88"/>
    <row r="452" ht="14.4" customHeight="1" s="88"/>
    <row r="453" ht="14.4" customHeight="1" s="88"/>
    <row r="454" ht="14.4" customHeight="1" s="88"/>
    <row r="455" ht="14.4" customHeight="1" s="88"/>
    <row r="456" ht="14.4" customHeight="1" s="88"/>
    <row r="457" ht="14.4" customHeight="1" s="88"/>
    <row r="458" ht="14.4" customHeight="1" s="88"/>
    <row r="459" ht="14.4" customHeight="1" s="88"/>
    <row r="460" ht="14.4" customHeight="1" s="88"/>
    <row r="461" ht="14.4" customHeight="1" s="88"/>
    <row r="462" ht="14.4" customHeight="1" s="88"/>
    <row r="463" ht="14.4" customHeight="1" s="88"/>
    <row r="464" ht="14.4" customHeight="1" s="88"/>
    <row r="465" ht="14.4" customHeight="1" s="88"/>
    <row r="466" ht="14.4" customHeight="1" s="88"/>
    <row r="467" ht="14.4" customHeight="1" s="88"/>
    <row r="468" ht="14.4" customHeight="1" s="88"/>
    <row r="469" ht="14.4" customHeight="1" s="88"/>
    <row r="470" ht="14.4" customHeight="1" s="88"/>
    <row r="471" ht="14.4" customHeight="1" s="88"/>
    <row r="472" ht="14.4" customHeight="1" s="88"/>
    <row r="473" ht="14.4" customHeight="1" s="88"/>
    <row r="474" ht="14.4" customHeight="1" s="88"/>
    <row r="475" ht="14.4" customHeight="1" s="88"/>
    <row r="476" ht="14.4" customHeight="1" s="88"/>
    <row r="477" ht="14.4" customHeight="1" s="88"/>
    <row r="478" ht="14.4" customHeight="1" s="88"/>
    <row r="479" ht="14.4" customHeight="1" s="88"/>
    <row r="480" ht="14.4" customHeight="1" s="88"/>
    <row r="481" ht="14.4" customHeight="1" s="88"/>
    <row r="482" ht="14.4" customHeight="1" s="88"/>
    <row r="483" ht="14.4" customHeight="1" s="88"/>
    <row r="484" ht="14.4" customHeight="1" s="88"/>
    <row r="485" ht="14.4" customHeight="1" s="88"/>
    <row r="486" ht="14.4" customHeight="1" s="88"/>
    <row r="487" ht="14.4" customHeight="1" s="88"/>
    <row r="488" ht="14.4" customHeight="1" s="88"/>
    <row r="489" ht="14.4" customHeight="1" s="88"/>
    <row r="490" ht="14.4" customHeight="1" s="88"/>
    <row r="491" ht="14.4" customHeight="1" s="88"/>
    <row r="492" ht="14.4" customHeight="1" s="88"/>
    <row r="493" ht="14.4" customHeight="1" s="88"/>
    <row r="494" ht="14.4" customHeight="1" s="88"/>
    <row r="495" ht="14.4" customHeight="1" s="88"/>
    <row r="496" ht="14.4" customHeight="1" s="88"/>
    <row r="497" ht="14.4" customHeight="1" s="88"/>
    <row r="498" ht="14.4" customHeight="1" s="88"/>
    <row r="499" ht="14.4" customHeight="1" s="88"/>
    <row r="500" ht="14.4" customHeight="1" s="88"/>
    <row r="501" ht="14.4" customHeight="1" s="88"/>
    <row r="502" ht="14.4" customHeight="1" s="88"/>
    <row r="503" ht="14.4" customHeight="1" s="88"/>
    <row r="504" ht="14.4" customHeight="1" s="88"/>
    <row r="505" ht="14.4" customHeight="1" s="88"/>
    <row r="506" ht="14.4" customHeight="1" s="88"/>
    <row r="507" ht="14.4" customHeight="1" s="88"/>
    <row r="508" ht="14.4" customHeight="1" s="88"/>
    <row r="509" ht="14.4" customHeight="1" s="88"/>
    <row r="510" ht="14.4" customHeight="1" s="88"/>
    <row r="511" ht="14.4" customHeight="1" s="88"/>
    <row r="512" ht="14.4" customHeight="1" s="88"/>
    <row r="513" ht="14.4" customHeight="1" s="88"/>
    <row r="514" ht="14.4" customHeight="1" s="88"/>
    <row r="515" ht="14.4" customHeight="1" s="88"/>
    <row r="516" ht="14.4" customHeight="1" s="88"/>
    <row r="517" ht="14.4" customHeight="1" s="88"/>
    <row r="518" ht="14.4" customHeight="1" s="88"/>
    <row r="519" ht="14.4" customHeight="1" s="88"/>
    <row r="520" ht="14.4" customHeight="1" s="88"/>
    <row r="521" ht="14.4" customHeight="1" s="88"/>
    <row r="522" ht="14.4" customHeight="1" s="88"/>
    <row r="523" ht="14.4" customHeight="1" s="88"/>
    <row r="524" ht="14.4" customHeight="1" s="88"/>
    <row r="525" ht="14.4" customHeight="1" s="88"/>
    <row r="526" ht="14.4" customHeight="1" s="88"/>
    <row r="527" ht="14.4" customHeight="1" s="88"/>
    <row r="528" ht="14.4" customHeight="1" s="88"/>
    <row r="529" ht="14.4" customHeight="1" s="88"/>
    <row r="530" ht="14.4" customHeight="1" s="88"/>
    <row r="531" ht="14.4" customHeight="1" s="88"/>
    <row r="532" ht="14.4" customHeight="1" s="88"/>
    <row r="533" ht="14.4" customHeight="1" s="88"/>
    <row r="534" ht="14.4" customHeight="1" s="88"/>
    <row r="535" ht="14.4" customHeight="1" s="88"/>
    <row r="536" ht="14.4" customHeight="1" s="88"/>
    <row r="537" ht="14.4" customHeight="1" s="88"/>
    <row r="538" ht="14.4" customHeight="1" s="88"/>
    <row r="539" ht="14.4" customHeight="1" s="88"/>
    <row r="540" ht="14.4" customHeight="1" s="88"/>
    <row r="541" ht="14.4" customHeight="1" s="88"/>
    <row r="542" ht="14.4" customHeight="1" s="88"/>
    <row r="543" ht="14.4" customHeight="1" s="88"/>
    <row r="544" ht="14.4" customHeight="1" s="88"/>
    <row r="545" ht="14.4" customHeight="1" s="88"/>
    <row r="546" ht="14.4" customHeight="1" s="88"/>
    <row r="547" ht="14.4" customHeight="1" s="88"/>
    <row r="548" ht="14.4" customHeight="1" s="88"/>
    <row r="549" ht="14.4" customHeight="1" s="88"/>
    <row r="550" ht="14.4" customHeight="1" s="88"/>
    <row r="551" ht="14.4" customHeight="1" s="88"/>
    <row r="552" ht="14.4" customHeight="1" s="88"/>
    <row r="553" ht="14.4" customHeight="1" s="88"/>
    <row r="554" ht="14.4" customHeight="1" s="88"/>
    <row r="555" ht="14.4" customHeight="1" s="88"/>
    <row r="556" ht="14.4" customHeight="1" s="88"/>
    <row r="557" ht="14.4" customHeight="1" s="88"/>
    <row r="558" ht="14.4" customHeight="1" s="88"/>
    <row r="559" ht="14.4" customHeight="1" s="88"/>
    <row r="560" ht="14.4" customHeight="1" s="88"/>
    <row r="561" ht="14.4" customHeight="1" s="88"/>
    <row r="562" ht="14.4" customHeight="1" s="88"/>
    <row r="563" ht="14.4" customHeight="1" s="88"/>
    <row r="564" ht="14.4" customHeight="1" s="88"/>
    <row r="565" ht="14.4" customHeight="1" s="88"/>
    <row r="566" ht="14.4" customHeight="1" s="88"/>
    <row r="567" ht="14.4" customHeight="1" s="88"/>
    <row r="568" ht="14.4" customHeight="1" s="88"/>
    <row r="569" ht="14.4" customHeight="1" s="88"/>
    <row r="570" ht="14.4" customHeight="1" s="88"/>
    <row r="571" ht="14.4" customHeight="1" s="88"/>
    <row r="572" ht="14.4" customHeight="1" s="88"/>
    <row r="573" ht="14.4" customHeight="1" s="88"/>
    <row r="574" ht="14.4" customHeight="1" s="88"/>
    <row r="575" ht="14.4" customHeight="1" s="88"/>
    <row r="576" ht="14.4" customHeight="1" s="88"/>
    <row r="577" ht="14.4" customHeight="1" s="88"/>
    <row r="578" ht="14.4" customHeight="1" s="88"/>
    <row r="579" ht="14.4" customHeight="1" s="88"/>
    <row r="580" ht="14.4" customHeight="1" s="88"/>
    <row r="581" ht="14.4" customHeight="1" s="88"/>
    <row r="582" ht="14.4" customHeight="1" s="88"/>
    <row r="583" ht="14.4" customHeight="1" s="88"/>
    <row r="584" ht="14.4" customHeight="1" s="88"/>
    <row r="585" ht="14.4" customHeight="1" s="88"/>
    <row r="586" ht="14.4" customHeight="1" s="88"/>
    <row r="587" ht="14.4" customHeight="1" s="88"/>
    <row r="588" ht="14.4" customHeight="1" s="88"/>
    <row r="589" ht="14.4" customHeight="1" s="88"/>
    <row r="590" ht="14.4" customHeight="1" s="88"/>
    <row r="591" ht="14.4" customHeight="1" s="88"/>
    <row r="592" ht="14.4" customHeight="1" s="88"/>
    <row r="593" ht="14.4" customHeight="1" s="88"/>
    <row r="594" ht="14.4" customHeight="1" s="88"/>
    <row r="595" ht="14.4" customHeight="1" s="88"/>
    <row r="596" ht="14.4" customHeight="1" s="88"/>
    <row r="597" ht="14.4" customHeight="1" s="88"/>
    <row r="598" ht="14.4" customHeight="1" s="88"/>
    <row r="599" ht="14.4" customHeight="1" s="88"/>
    <row r="600" ht="14.4" customHeight="1" s="88"/>
    <row r="601" ht="14.4" customHeight="1" s="88"/>
    <row r="602" ht="14.4" customHeight="1" s="88"/>
    <row r="603" ht="14.4" customHeight="1" s="88"/>
    <row r="604" ht="14.4" customHeight="1" s="88"/>
    <row r="605" ht="14.4" customHeight="1" s="88"/>
    <row r="606" ht="14.4" customHeight="1" s="88"/>
    <row r="607" ht="14.4" customHeight="1" s="88"/>
    <row r="608" ht="14.4" customHeight="1" s="88"/>
    <row r="609" ht="14.4" customHeight="1" s="88"/>
    <row r="610" ht="14.4" customHeight="1" s="88"/>
    <row r="611" ht="14.4" customHeight="1" s="88"/>
    <row r="612" ht="14.4" customHeight="1" s="88"/>
    <row r="613" ht="14.4" customHeight="1" s="88"/>
    <row r="614" ht="14.4" customHeight="1" s="88"/>
    <row r="615" ht="14.4" customHeight="1" s="88"/>
    <row r="616" ht="14.4" customHeight="1" s="88"/>
    <row r="617" ht="14.4" customHeight="1" s="88"/>
    <row r="618" ht="14.4" customHeight="1" s="88"/>
    <row r="619" ht="14.4" customHeight="1" s="88"/>
    <row r="620" ht="14.4" customHeight="1" s="88"/>
    <row r="621" ht="14.4" customHeight="1" s="88"/>
    <row r="622" ht="14.4" customHeight="1" s="88"/>
    <row r="623" ht="14.4" customHeight="1" s="88"/>
    <row r="624" ht="14.4" customHeight="1" s="88"/>
    <row r="625" ht="14.4" customHeight="1" s="88"/>
    <row r="626" ht="14.4" customHeight="1" s="88"/>
    <row r="627" ht="14.4" customHeight="1" s="88"/>
    <row r="628" ht="14.4" customHeight="1" s="88"/>
    <row r="629" ht="14.4" customHeight="1" s="88"/>
    <row r="630" ht="14.4" customHeight="1" s="88"/>
    <row r="631" ht="14.4" customHeight="1" s="88"/>
    <row r="632" ht="14.4" customHeight="1" s="88"/>
    <row r="633" ht="14.4" customHeight="1" s="88"/>
    <row r="634" ht="14.4" customHeight="1" s="88"/>
    <row r="635" ht="14.4" customHeight="1" s="88"/>
    <row r="636" ht="14.4" customHeight="1" s="88"/>
    <row r="637" ht="14.4" customHeight="1" s="88"/>
    <row r="638" ht="14.4" customHeight="1" s="88"/>
    <row r="639" ht="14.4" customHeight="1" s="88"/>
    <row r="640" ht="14.4" customHeight="1" s="88"/>
    <row r="641" ht="14.4" customHeight="1" s="88"/>
    <row r="642" ht="14.4" customHeight="1" s="88"/>
    <row r="643" ht="14.4" customHeight="1" s="88"/>
    <row r="644" ht="14.4" customHeight="1" s="88"/>
    <row r="645" ht="14.4" customHeight="1" s="88"/>
    <row r="646" ht="14.4" customHeight="1" s="88"/>
    <row r="647" ht="14.4" customHeight="1" s="88"/>
    <row r="648" ht="14.4" customHeight="1" s="88"/>
    <row r="649" ht="14.4" customHeight="1" s="88"/>
    <row r="650" ht="14.4" customHeight="1" s="88"/>
    <row r="651" ht="14.4" customHeight="1" s="88"/>
    <row r="652" ht="14.4" customHeight="1" s="88"/>
    <row r="653" ht="14.4" customHeight="1" s="88"/>
    <row r="654" ht="14.4" customHeight="1" s="88"/>
    <row r="655" ht="14.4" customHeight="1" s="88"/>
    <row r="656" ht="14.4" customHeight="1" s="88"/>
    <row r="657" ht="14.4" customHeight="1" s="88"/>
    <row r="658" ht="14.4" customHeight="1" s="88"/>
    <row r="659" ht="14.4" customHeight="1" s="88"/>
    <row r="660" ht="14.4" customHeight="1" s="88"/>
    <row r="661" ht="14.4" customHeight="1" s="88"/>
    <row r="662" ht="14.4" customHeight="1" s="88"/>
    <row r="663" ht="14.4" customHeight="1" s="88"/>
    <row r="664" ht="14.4" customHeight="1" s="88"/>
    <row r="665" ht="14.4" customHeight="1" s="88"/>
    <row r="666" ht="14.4" customHeight="1" s="88"/>
    <row r="667" ht="14.4" customHeight="1" s="88"/>
    <row r="668" ht="14.4" customHeight="1" s="88"/>
    <row r="669" ht="14.4" customHeight="1" s="88"/>
    <row r="670" ht="14.4" customHeight="1" s="88"/>
    <row r="671" ht="14.4" customHeight="1" s="88"/>
    <row r="672" ht="14.4" customHeight="1" s="88"/>
    <row r="673" ht="14.4" customHeight="1" s="88"/>
    <row r="674" ht="14.4" customHeight="1" s="88"/>
    <row r="675" ht="14.4" customHeight="1" s="88"/>
    <row r="676" ht="14.4" customHeight="1" s="88"/>
    <row r="677" ht="14.4" customHeight="1" s="88"/>
    <row r="678" ht="14.4" customHeight="1" s="88"/>
    <row r="679" ht="14.4" customHeight="1" s="88"/>
    <row r="680" ht="14.4" customHeight="1" s="88"/>
    <row r="681" ht="14.4" customHeight="1" s="88"/>
    <row r="682" ht="14.4" customHeight="1" s="88"/>
    <row r="683" ht="14.4" customHeight="1" s="88"/>
    <row r="684" ht="14.4" customHeight="1" s="88"/>
    <row r="685" ht="14.4" customHeight="1" s="88"/>
    <row r="686" ht="14.4" customHeight="1" s="88"/>
    <row r="687" ht="14.4" customHeight="1" s="88"/>
    <row r="688" ht="14.4" customHeight="1" s="88"/>
    <row r="689" ht="14.4" customHeight="1" s="88"/>
    <row r="690" ht="14.4" customHeight="1" s="88"/>
    <row r="691" ht="14.4" customHeight="1" s="88"/>
    <row r="692" ht="14.4" customHeight="1" s="88"/>
    <row r="693" ht="14.4" customHeight="1" s="88"/>
    <row r="694" ht="14.4" customHeight="1" s="88"/>
    <row r="695" ht="14.4" customHeight="1" s="88"/>
    <row r="696" ht="14.4" customHeight="1" s="88"/>
    <row r="697" ht="14.4" customHeight="1" s="88"/>
    <row r="698" ht="14.4" customHeight="1" s="88"/>
    <row r="699" ht="14.4" customHeight="1" s="88"/>
    <row r="700" ht="14.4" customHeight="1" s="88"/>
    <row r="701" ht="14.4" customHeight="1" s="88"/>
    <row r="702" ht="14.4" customHeight="1" s="88"/>
    <row r="703" ht="14.4" customHeight="1" s="88"/>
    <row r="704" ht="14.4" customHeight="1" s="88"/>
    <row r="705" ht="14.4" customHeight="1" s="88"/>
    <row r="706" ht="14.4" customHeight="1" s="88"/>
    <row r="707" ht="14.4" customHeight="1" s="88"/>
    <row r="708" ht="14.4" customHeight="1" s="88"/>
    <row r="709" ht="14.4" customHeight="1" s="88"/>
    <row r="710" ht="14.4" customHeight="1" s="88"/>
    <row r="711" ht="14.4" customHeight="1" s="88"/>
    <row r="712" ht="14.4" customHeight="1" s="88"/>
    <row r="713" ht="14.4" customHeight="1" s="88"/>
    <row r="714" ht="14.4" customHeight="1" s="88"/>
    <row r="715" ht="14.4" customHeight="1" s="88"/>
    <row r="716" ht="14.4" customHeight="1" s="88"/>
    <row r="717" ht="14.4" customHeight="1" s="88"/>
    <row r="718" ht="14.4" customHeight="1" s="88"/>
    <row r="719" ht="14.4" customHeight="1" s="88"/>
    <row r="720" ht="14.4" customHeight="1" s="88"/>
    <row r="721" ht="14.4" customHeight="1" s="88"/>
    <row r="722" ht="14.4" customHeight="1" s="88"/>
    <row r="723" ht="14.4" customHeight="1" s="88"/>
    <row r="724" ht="14.4" customHeight="1" s="88"/>
    <row r="725" ht="14.4" customHeight="1" s="88"/>
    <row r="726" ht="14.4" customHeight="1" s="88"/>
    <row r="727" ht="14.4" customHeight="1" s="88"/>
    <row r="728" ht="14.4" customHeight="1" s="88"/>
    <row r="729" ht="14.4" customHeight="1" s="88"/>
    <row r="730" ht="14.4" customHeight="1" s="88"/>
    <row r="731" ht="14.4" customHeight="1" s="88"/>
    <row r="732" ht="14.4" customHeight="1" s="88"/>
    <row r="733" ht="14.4" customHeight="1" s="88"/>
    <row r="734" ht="14.4" customHeight="1" s="88"/>
    <row r="735" ht="14.4" customHeight="1" s="88"/>
    <row r="736" ht="14.4" customHeight="1" s="88"/>
    <row r="737" ht="14.4" customHeight="1" s="88"/>
    <row r="738" ht="14.4" customHeight="1" s="88"/>
    <row r="739" ht="14.4" customHeight="1" s="88"/>
    <row r="740" ht="14.4" customHeight="1" s="88"/>
    <row r="741" ht="14.4" customHeight="1" s="88"/>
    <row r="742" ht="14.4" customHeight="1" s="88"/>
    <row r="743" ht="14.4" customHeight="1" s="88"/>
    <row r="744" ht="14.4" customHeight="1" s="88"/>
    <row r="745" ht="14.4" customHeight="1" s="88"/>
    <row r="746" ht="14.4" customHeight="1" s="88"/>
    <row r="747" ht="14.4" customHeight="1" s="88"/>
    <row r="748" ht="14.4" customHeight="1" s="88"/>
    <row r="749" ht="14.4" customHeight="1" s="88"/>
    <row r="750" ht="14.4" customHeight="1" s="88"/>
    <row r="751" ht="14.4" customHeight="1" s="88"/>
    <row r="752" ht="14.4" customHeight="1" s="88"/>
    <row r="753" ht="14.4" customHeight="1" s="88"/>
    <row r="754" ht="14.4" customHeight="1" s="88"/>
    <row r="755" ht="14.4" customHeight="1" s="88"/>
    <row r="756" ht="14.4" customHeight="1" s="88"/>
    <row r="757" ht="14.4" customHeight="1" s="88"/>
    <row r="758" ht="14.4" customHeight="1" s="88"/>
    <row r="759" ht="14.4" customHeight="1" s="88"/>
    <row r="760" ht="14.4" customHeight="1" s="88"/>
    <row r="761" ht="14.4" customHeight="1" s="88"/>
    <row r="762" ht="14.4" customHeight="1" s="88"/>
    <row r="763" ht="14.4" customHeight="1" s="88"/>
    <row r="764" ht="14.4" customHeight="1" s="88"/>
    <row r="765" ht="14.4" customHeight="1" s="88"/>
    <row r="766" ht="14.4" customHeight="1" s="88"/>
    <row r="767" ht="14.4" customHeight="1" s="88"/>
    <row r="768" ht="14.4" customHeight="1" s="88"/>
    <row r="769" ht="14.4" customHeight="1" s="88"/>
    <row r="770" ht="14.4" customHeight="1" s="88"/>
    <row r="771" ht="14.4" customHeight="1" s="88"/>
    <row r="772" ht="14.4" customHeight="1" s="88"/>
    <row r="773" ht="14.4" customHeight="1" s="88"/>
    <row r="774" ht="14.4" customHeight="1" s="88"/>
    <row r="775" ht="14.4" customHeight="1" s="88"/>
    <row r="776" ht="14.4" customHeight="1" s="88"/>
    <row r="777" ht="14.4" customHeight="1" s="88"/>
    <row r="778" ht="14.4" customHeight="1" s="88"/>
    <row r="779" ht="14.4" customHeight="1" s="88"/>
    <row r="780" ht="14.4" customHeight="1" s="88"/>
    <row r="781" ht="14.4" customHeight="1" s="88"/>
    <row r="782" ht="14.4" customHeight="1" s="88"/>
    <row r="783" ht="14.4" customHeight="1" s="88"/>
    <row r="784" ht="14.4" customHeight="1" s="88"/>
    <row r="785" ht="14.4" customHeight="1" s="88"/>
    <row r="786" ht="14.4" customHeight="1" s="88"/>
    <row r="787" ht="14.4" customHeight="1" s="88"/>
    <row r="788" ht="14.4" customHeight="1" s="88"/>
    <row r="789" ht="14.4" customHeight="1" s="88"/>
    <row r="790" ht="14.4" customHeight="1" s="88"/>
    <row r="791" ht="14.4" customHeight="1" s="88"/>
    <row r="792" ht="14.4" customHeight="1" s="88"/>
    <row r="793" ht="14.4" customHeight="1" s="88"/>
    <row r="794" ht="14.4" customHeight="1" s="88"/>
    <row r="795" ht="14.4" customHeight="1" s="88"/>
    <row r="796" ht="14.4" customHeight="1" s="88"/>
    <row r="797" ht="14.4" customHeight="1" s="88"/>
    <row r="798" ht="14.4" customHeight="1" s="88"/>
    <row r="799" ht="14.4" customHeight="1" s="88"/>
    <row r="800" ht="14.4" customHeight="1" s="88"/>
    <row r="801" ht="14.4" customHeight="1" s="88"/>
    <row r="802" ht="14.4" customHeight="1" s="88"/>
    <row r="803" ht="14.4" customHeight="1" s="88"/>
    <row r="804" ht="14.4" customHeight="1" s="88"/>
    <row r="805" ht="14.4" customHeight="1" s="88"/>
    <row r="806" ht="14.4" customHeight="1" s="88"/>
    <row r="807" ht="14.4" customHeight="1" s="88"/>
    <row r="808" ht="14.4" customHeight="1" s="88"/>
    <row r="809" ht="14.4" customHeight="1" s="88"/>
    <row r="810" ht="14.4" customHeight="1" s="88"/>
    <row r="811" ht="14.4" customHeight="1" s="88"/>
    <row r="812" ht="14.4" customHeight="1" s="88"/>
    <row r="813" ht="14.4" customHeight="1" s="88"/>
    <row r="814" ht="14.4" customHeight="1" s="88"/>
    <row r="815" ht="14.4" customHeight="1" s="88"/>
    <row r="816" ht="14.4" customHeight="1" s="88"/>
    <row r="817" ht="14.4" customHeight="1" s="88"/>
    <row r="818" ht="14.4" customHeight="1" s="88"/>
    <row r="819" ht="14.4" customHeight="1" s="88"/>
    <row r="820" ht="14.4" customHeight="1" s="88"/>
    <row r="821" ht="14.4" customHeight="1" s="88"/>
    <row r="822" ht="14.4" customHeight="1" s="88"/>
    <row r="823" ht="14.4" customHeight="1" s="88"/>
    <row r="824" ht="14.4" customHeight="1" s="88"/>
    <row r="825" ht="14.4" customHeight="1" s="88"/>
    <row r="826" ht="14.4" customHeight="1" s="88"/>
    <row r="827" ht="14.4" customHeight="1" s="88"/>
    <row r="828" ht="14.4" customHeight="1" s="88"/>
    <row r="829" ht="14.4" customHeight="1" s="88"/>
    <row r="830" ht="14.4" customHeight="1" s="88"/>
    <row r="831" ht="14.4" customHeight="1" s="88"/>
    <row r="832" ht="14.4" customHeight="1" s="88"/>
    <row r="833" ht="14.4" customHeight="1" s="88"/>
    <row r="834" ht="14.4" customHeight="1" s="88"/>
    <row r="835" ht="14.4" customHeight="1" s="88"/>
    <row r="836" ht="14.4" customHeight="1" s="88"/>
    <row r="837" ht="14.4" customHeight="1" s="88"/>
    <row r="838" ht="14.4" customHeight="1" s="88"/>
    <row r="839" ht="14.4" customHeight="1" s="88"/>
    <row r="840" ht="14.4" customHeight="1" s="88"/>
    <row r="841" ht="14.4" customHeight="1" s="88"/>
    <row r="842" ht="14.4" customHeight="1" s="88"/>
    <row r="843" ht="14.4" customHeight="1" s="88"/>
    <row r="844" ht="14.4" customHeight="1" s="88"/>
    <row r="845" ht="14.4" customHeight="1" s="88"/>
    <row r="846" ht="14.4" customHeight="1" s="88"/>
    <row r="847" ht="14.4" customHeight="1" s="88"/>
    <row r="848" ht="14.4" customHeight="1" s="88"/>
    <row r="849" ht="14.4" customHeight="1" s="88"/>
    <row r="850" ht="14.4" customHeight="1" s="88"/>
    <row r="851" ht="14.4" customHeight="1" s="88"/>
    <row r="852" ht="14.4" customHeight="1" s="88"/>
    <row r="853" ht="14.4" customHeight="1" s="88"/>
    <row r="854" ht="14.4" customHeight="1" s="88"/>
    <row r="855" ht="14.4" customHeight="1" s="88"/>
    <row r="856" ht="14.4" customHeight="1" s="88"/>
    <row r="857" ht="14.4" customHeight="1" s="88"/>
    <row r="858" ht="14.4" customHeight="1" s="88"/>
    <row r="859" ht="14.4" customHeight="1" s="88"/>
    <row r="860" ht="14.4" customHeight="1" s="88"/>
    <row r="861" ht="14.4" customHeight="1" s="88"/>
    <row r="862" ht="14.4" customHeight="1" s="88"/>
    <row r="863" ht="14.4" customHeight="1" s="88"/>
    <row r="864" ht="14.4" customHeight="1" s="88"/>
    <row r="865" ht="14.4" customHeight="1" s="88"/>
    <row r="866" ht="14.4" customHeight="1" s="88"/>
    <row r="867" ht="14.4" customHeight="1" s="88"/>
    <row r="868" ht="14.4" customHeight="1" s="88"/>
    <row r="869" ht="14.4" customHeight="1" s="88"/>
    <row r="870" ht="14.4" customHeight="1" s="88"/>
    <row r="871" ht="14.4" customHeight="1" s="88"/>
    <row r="872" ht="14.4" customHeight="1" s="88"/>
    <row r="873" ht="14.4" customHeight="1" s="88"/>
    <row r="874" ht="14.4" customHeight="1" s="88"/>
    <row r="875" ht="14.4" customHeight="1" s="88"/>
    <row r="876" ht="14.4" customHeight="1" s="88"/>
    <row r="877" ht="14.4" customHeight="1" s="88"/>
    <row r="878" ht="14.4" customHeight="1" s="88"/>
    <row r="879" ht="14.4" customHeight="1" s="88"/>
    <row r="880" ht="14.4" customHeight="1" s="88"/>
    <row r="881" ht="14.4" customHeight="1" s="88"/>
    <row r="882" ht="14.4" customHeight="1" s="88"/>
    <row r="883" ht="14.4" customHeight="1" s="88"/>
    <row r="884" ht="14.4" customHeight="1" s="88"/>
    <row r="885" ht="14.4" customHeight="1" s="88"/>
    <row r="886" ht="14.4" customHeight="1" s="88"/>
    <row r="887" ht="14.4" customHeight="1" s="88"/>
    <row r="888" ht="14.4" customHeight="1" s="88"/>
    <row r="889" ht="14.4" customHeight="1" s="88"/>
    <row r="890" ht="14.4" customHeight="1" s="88"/>
    <row r="891" ht="14.4" customHeight="1" s="88"/>
    <row r="892" ht="14.4" customHeight="1" s="88"/>
    <row r="893" ht="14.4" customHeight="1" s="88"/>
    <row r="894" ht="14.4" customHeight="1" s="88"/>
    <row r="895" ht="14.4" customHeight="1" s="88"/>
    <row r="896" ht="14.4" customHeight="1" s="88"/>
    <row r="897" ht="14.4" customHeight="1" s="88"/>
    <row r="898" ht="14.4" customHeight="1" s="88"/>
    <row r="899" ht="14.4" customHeight="1" s="88"/>
    <row r="900" ht="14.4" customHeight="1" s="88"/>
    <row r="901" ht="14.4" customHeight="1" s="88"/>
    <row r="902" ht="14.4" customHeight="1" s="88"/>
    <row r="903" ht="14.4" customHeight="1" s="88"/>
    <row r="904" ht="14.4" customHeight="1" s="88"/>
    <row r="905" ht="14.4" customHeight="1" s="88"/>
    <row r="906" ht="14.4" customHeight="1" s="88"/>
    <row r="907" ht="14.4" customHeight="1" s="88"/>
    <row r="908" ht="14.4" customHeight="1" s="88"/>
    <row r="909" ht="14.4" customHeight="1" s="88"/>
    <row r="910" ht="14.4" customHeight="1" s="88"/>
    <row r="911" ht="14.4" customHeight="1" s="88"/>
    <row r="912" ht="14.4" customHeight="1" s="88"/>
    <row r="913" ht="14.4" customHeight="1" s="88"/>
    <row r="914" ht="14.4" customHeight="1" s="88"/>
    <row r="915" ht="14.4" customHeight="1" s="88"/>
    <row r="916" ht="14.4" customHeight="1" s="88"/>
    <row r="917" ht="14.4" customHeight="1" s="88"/>
    <row r="918" ht="14.4" customHeight="1" s="88"/>
    <row r="919" ht="14.4" customHeight="1" s="88"/>
    <row r="920" ht="14.4" customHeight="1" s="88"/>
    <row r="921" ht="14.4" customHeight="1" s="88"/>
    <row r="922" ht="14.4" customHeight="1" s="88"/>
    <row r="923" ht="14.4" customHeight="1" s="88"/>
    <row r="924" ht="14.4" customHeight="1" s="88"/>
    <row r="925" ht="14.4" customHeight="1" s="88"/>
    <row r="926" ht="14.4" customHeight="1" s="88"/>
    <row r="927" ht="14.4" customHeight="1" s="88"/>
    <row r="928" ht="14.4" customHeight="1" s="88"/>
    <row r="929" ht="14.4" customHeight="1" s="88"/>
    <row r="930" ht="14.4" customHeight="1" s="88"/>
    <row r="931" ht="14.4" customHeight="1" s="88"/>
    <row r="932" ht="14.4" customHeight="1" s="88"/>
    <row r="933" ht="14.4" customHeight="1" s="88"/>
    <row r="934" ht="14.4" customHeight="1" s="88"/>
    <row r="935" ht="14.4" customHeight="1" s="88"/>
    <row r="936" ht="14.4" customHeight="1" s="88"/>
    <row r="937" ht="14.4" customHeight="1" s="88"/>
    <row r="938" ht="14.4" customHeight="1" s="88"/>
    <row r="939" ht="14.4" customHeight="1" s="88"/>
    <row r="940" ht="14.4" customHeight="1" s="88"/>
    <row r="941" ht="14.4" customHeight="1" s="88"/>
    <row r="942" ht="14.4" customHeight="1" s="88"/>
    <row r="943" ht="14.4" customHeight="1" s="88"/>
    <row r="944" ht="14.4" customHeight="1" s="88"/>
    <row r="945" ht="14.4" customHeight="1" s="88"/>
    <row r="946" ht="14.4" customHeight="1" s="88"/>
    <row r="947" ht="14.4" customHeight="1" s="88"/>
    <row r="948" ht="14.4" customHeight="1" s="88"/>
    <row r="949" ht="14.4" customHeight="1" s="88"/>
    <row r="950" ht="14.4" customHeight="1" s="88"/>
    <row r="951" ht="14.4" customHeight="1" s="88"/>
    <row r="952" ht="14.4" customHeight="1" s="88"/>
    <row r="953" ht="14.4" customHeight="1" s="88"/>
    <row r="954" ht="14.4" customHeight="1" s="88"/>
    <row r="955" ht="14.4" customHeight="1" s="88"/>
    <row r="956" ht="14.4" customHeight="1" s="88"/>
    <row r="957" ht="14.4" customHeight="1" s="88"/>
    <row r="958" ht="14.4" customHeight="1" s="88"/>
    <row r="959" ht="14.4" customHeight="1" s="88"/>
    <row r="960" ht="14.4" customHeight="1" s="88"/>
    <row r="961" ht="14.4" customHeight="1" s="88"/>
    <row r="962" ht="14.4" customHeight="1" s="88"/>
    <row r="963" ht="14.4" customHeight="1" s="88"/>
    <row r="964" ht="14.4" customHeight="1" s="88"/>
    <row r="965" ht="14.4" customHeight="1" s="88"/>
    <row r="966" ht="14.4" customHeight="1" s="88"/>
    <row r="967" ht="14.4" customHeight="1" s="88"/>
    <row r="968" ht="14.4" customHeight="1" s="88"/>
    <row r="969" ht="14.4" customHeight="1" s="88"/>
    <row r="970" ht="14.4" customHeight="1" s="88"/>
    <row r="971" ht="14.4" customHeight="1" s="88"/>
    <row r="972" ht="14.4" customHeight="1" s="88"/>
    <row r="973" ht="14.4" customHeight="1" s="88"/>
    <row r="974" ht="14.4" customHeight="1" s="88"/>
    <row r="975" ht="14.4" customHeight="1" s="88"/>
    <row r="976" ht="14.4" customHeight="1" s="88"/>
    <row r="977" ht="14.4" customHeight="1" s="88"/>
    <row r="978" ht="14.4" customHeight="1" s="88"/>
    <row r="979" ht="14.4" customHeight="1" s="88"/>
    <row r="980" ht="14.4" customHeight="1" s="88"/>
    <row r="981" ht="14.4" customHeight="1" s="88"/>
    <row r="982" ht="14.4" customHeight="1" s="88"/>
    <row r="983" ht="14.4" customHeight="1" s="88"/>
    <row r="984" ht="14.4" customHeight="1" s="88"/>
    <row r="985" ht="14.4" customHeight="1" s="88"/>
    <row r="986" ht="14.4" customHeight="1" s="88"/>
    <row r="987" ht="14.4" customHeight="1" s="88"/>
    <row r="988" ht="14.4" customHeight="1" s="88"/>
    <row r="989" ht="14.4" customHeight="1" s="88"/>
    <row r="990" ht="14.4" customHeight="1" s="88"/>
    <row r="991" ht="14.4" customHeight="1" s="88"/>
    <row r="992" ht="14.4" customHeight="1" s="88"/>
    <row r="993" ht="14.4" customHeight="1" s="88"/>
    <row r="994" ht="14.4" customHeight="1" s="88"/>
    <row r="995" ht="14.4" customHeight="1" s="88"/>
    <row r="996" ht="14.4" customHeight="1" s="88"/>
    <row r="997" ht="14.4" customHeight="1" s="88"/>
    <row r="998" ht="14.4" customHeight="1" s="88"/>
    <row r="999" ht="14.4" customHeight="1" s="88"/>
    <row r="1000" ht="14.4" customHeight="1" s="88"/>
    <row r="1001" ht="14.4" customHeight="1" s="88"/>
    <row r="1002" ht="14.4" customHeight="1" s="88"/>
    <row r="1003" ht="14.4" customHeight="1" s="88"/>
    <row r="1004" ht="14.4" customHeight="1" s="88"/>
    <row r="1005" ht="14.4" customHeight="1" s="88"/>
    <row r="1006" ht="14.4" customHeight="1" s="88"/>
    <row r="1007" ht="14.4" customHeight="1" s="88"/>
    <row r="1008" ht="14.4" customHeight="1" s="88"/>
    <row r="1009" ht="14.4" customHeight="1" s="88"/>
    <row r="1010" ht="14.4" customHeight="1" s="88"/>
    <row r="1011" ht="14.4" customHeight="1" s="88"/>
    <row r="1012" ht="14.4" customHeight="1" s="88"/>
    <row r="1013" ht="14.4" customHeight="1" s="88"/>
    <row r="1014" ht="14.4" customHeight="1" s="88"/>
    <row r="1015" ht="14.4" customHeight="1" s="88"/>
    <row r="1016" ht="14.4" customHeight="1" s="88"/>
    <row r="1017" ht="14.4" customHeight="1" s="88"/>
    <row r="1018" ht="14.4" customHeight="1" s="88"/>
    <row r="1019" ht="14.4" customHeight="1" s="88"/>
    <row r="1020" ht="14.4" customHeight="1" s="88"/>
    <row r="1021" ht="14.4" customHeight="1" s="88"/>
    <row r="1022" ht="14.4" customHeight="1" s="88"/>
    <row r="1023" ht="14.4" customHeight="1" s="88"/>
    <row r="1024" ht="14.4" customHeight="1" s="88"/>
    <row r="1025" ht="14.4" customHeight="1" s="88"/>
    <row r="1026" ht="14.4" customHeight="1" s="88"/>
    <row r="1027" ht="14.4" customHeight="1" s="88"/>
    <row r="1028" ht="14.4" customHeight="1" s="88"/>
    <row r="1029" ht="14.4" customHeight="1" s="88"/>
    <row r="1030" ht="14.4" customHeight="1" s="88"/>
    <row r="1031" ht="14.4" customHeight="1" s="88"/>
    <row r="1032" ht="14.4" customHeight="1" s="88"/>
    <row r="1033" ht="14.4" customHeight="1" s="88"/>
    <row r="1034" ht="14.4" customHeight="1" s="88"/>
    <row r="1035" ht="14.4" customHeight="1" s="88"/>
    <row r="1036" ht="14.4" customHeight="1" s="88"/>
    <row r="1037" ht="14.4" customHeight="1" s="88"/>
    <row r="1038" ht="14.4" customHeight="1" s="88"/>
    <row r="1039" ht="14.4" customHeight="1" s="88"/>
    <row r="1040" ht="14.4" customHeight="1" s="88"/>
    <row r="1041" ht="14.4" customHeight="1" s="88"/>
    <row r="1042" ht="14.4" customHeight="1" s="88"/>
    <row r="1043" ht="14.4" customHeight="1" s="88"/>
    <row r="1044" ht="14.4" customHeight="1" s="88"/>
    <row r="1045" ht="14.4" customHeight="1" s="88"/>
    <row r="1046" ht="14.4" customHeight="1" s="88"/>
    <row r="1047" ht="14.4" customHeight="1" s="88"/>
    <row r="1048" ht="14.4" customHeight="1" s="88"/>
    <row r="1049" ht="14.4" customHeight="1" s="88"/>
    <row r="1050" ht="14.4" customHeight="1" s="88"/>
    <row r="1051" ht="14.4" customHeight="1" s="88"/>
    <row r="1052" ht="14.4" customHeight="1" s="88"/>
    <row r="1053" ht="14.4" customHeight="1" s="88"/>
    <row r="1054" ht="14.4" customHeight="1" s="88"/>
    <row r="1055" ht="14.4" customHeight="1" s="88"/>
    <row r="1056" ht="14.4" customHeight="1" s="88"/>
    <row r="1057" ht="14.4" customHeight="1" s="88"/>
    <row r="1058" ht="14.4" customHeight="1" s="88"/>
    <row r="1059" ht="14.4" customHeight="1" s="88"/>
    <row r="1060" ht="14.4" customHeight="1" s="88"/>
    <row r="1061" ht="14.4" customHeight="1" s="88"/>
    <row r="1062" ht="14.4" customHeight="1" s="88"/>
    <row r="1063" ht="14.4" customHeight="1" s="88"/>
    <row r="1064" ht="14.4" customHeight="1" s="88"/>
    <row r="1065" ht="14.4" customHeight="1" s="88"/>
    <row r="1066" ht="14.4" customHeight="1" s="88"/>
    <row r="1067" ht="14.4" customHeight="1" s="88"/>
    <row r="1068" ht="14.4" customHeight="1" s="88"/>
    <row r="1069" ht="14.4" customHeight="1" s="88"/>
    <row r="1070" ht="14.4" customHeight="1" s="88"/>
    <row r="1071" ht="14.4" customHeight="1" s="88"/>
    <row r="1072" ht="14.4" customHeight="1" s="88"/>
    <row r="1073" ht="14.4" customHeight="1" s="88"/>
    <row r="1074" ht="14.4" customHeight="1" s="88"/>
    <row r="1075" ht="14.4" customHeight="1" s="88"/>
    <row r="1076" ht="14.4" customHeight="1" s="88"/>
    <row r="1077" ht="14.4" customHeight="1" s="88"/>
    <row r="1078" ht="14.4" customHeight="1" s="88"/>
    <row r="1079" ht="14.4" customHeight="1" s="88"/>
    <row r="1080" ht="14.4" customHeight="1" s="88"/>
    <row r="1081" ht="14.4" customHeight="1" s="88"/>
    <row r="1082" ht="14.4" customHeight="1" s="88"/>
    <row r="1083" ht="14.4" customHeight="1" s="88"/>
    <row r="1084" ht="14.4" customHeight="1" s="88"/>
    <row r="1085" ht="14.4" customHeight="1" s="88"/>
    <row r="1086" ht="14.4" customHeight="1" s="88"/>
    <row r="1087" ht="14.4" customHeight="1" s="88"/>
    <row r="1088" ht="14.4" customHeight="1" s="88"/>
    <row r="1089" ht="14.4" customHeight="1" s="88"/>
    <row r="1090" ht="14.4" customHeight="1" s="88"/>
    <row r="1091" ht="14.4" customHeight="1" s="88"/>
    <row r="1092" ht="14.4" customHeight="1" s="88"/>
    <row r="1093" ht="14.4" customHeight="1" s="88"/>
    <row r="1094" ht="14.4" customHeight="1" s="88"/>
    <row r="1095" ht="14.4" customHeight="1" s="88"/>
    <row r="1096" ht="14.4" customHeight="1" s="88"/>
    <row r="1097" ht="14.4" customHeight="1" s="88"/>
    <row r="1098" ht="14.4" customHeight="1" s="88"/>
    <row r="1099" ht="14.4" customHeight="1" s="88"/>
    <row r="1100" ht="14.4" customHeight="1" s="88"/>
    <row r="1101" ht="14.4" customHeight="1" s="88"/>
    <row r="1102" ht="14.4" customHeight="1" s="88"/>
    <row r="1103" ht="14.4" customHeight="1" s="88"/>
    <row r="1104" ht="14.4" customHeight="1" s="88"/>
    <row r="1105" ht="14.4" customHeight="1" s="88"/>
    <row r="1106" ht="14.4" customHeight="1" s="88"/>
    <row r="1107" ht="14.4" customHeight="1" s="88"/>
    <row r="1108" ht="14.4" customHeight="1" s="88"/>
    <row r="1109" ht="14.4" customHeight="1" s="88"/>
    <row r="1110" ht="14.4" customHeight="1" s="88"/>
    <row r="1111" ht="14.4" customHeight="1" s="88"/>
    <row r="1112" ht="14.4" customHeight="1" s="88"/>
    <row r="1113" ht="14.4" customHeight="1" s="88"/>
    <row r="1114" ht="14.4" customHeight="1" s="88"/>
    <row r="1115" ht="14.4" customHeight="1" s="88"/>
    <row r="1116" ht="14.4" customHeight="1" s="88"/>
    <row r="1117" ht="14.4" customHeight="1" s="88"/>
    <row r="1118" ht="14.4" customHeight="1" s="88"/>
    <row r="1119" ht="14.4" customHeight="1" s="88"/>
    <row r="1120" ht="14.4" customHeight="1" s="88"/>
    <row r="1121" ht="14.4" customHeight="1" s="88"/>
    <row r="1122" ht="14.4" customHeight="1" s="88"/>
    <row r="1123" ht="14.4" customHeight="1" s="88"/>
    <row r="1124" ht="14.4" customHeight="1" s="88"/>
    <row r="1125" ht="14.4" customHeight="1" s="88"/>
    <row r="1126" ht="14.4" customHeight="1" s="88"/>
    <row r="1127" ht="14.4" customHeight="1" s="88"/>
    <row r="1128" ht="14.4" customHeight="1" s="88"/>
    <row r="1129" ht="14.4" customHeight="1" s="88"/>
    <row r="1130" ht="14.4" customHeight="1" s="88"/>
    <row r="1131" ht="14.4" customHeight="1" s="88"/>
    <row r="1132" ht="14.4" customHeight="1" s="88"/>
    <row r="1133" ht="14.4" customHeight="1" s="88"/>
    <row r="1134" ht="14.4" customHeight="1" s="88"/>
    <row r="1135" ht="14.4" customHeight="1" s="88"/>
    <row r="1136" ht="14.4" customHeight="1" s="88"/>
    <row r="1137" ht="14.4" customHeight="1" s="88"/>
    <row r="1138" ht="14.4" customHeight="1" s="88"/>
    <row r="1139" ht="14.4" customHeight="1" s="88"/>
    <row r="1140" ht="14.4" customHeight="1" s="88"/>
    <row r="1141" ht="14.4" customHeight="1" s="88"/>
    <row r="1142" ht="14.4" customHeight="1" s="88"/>
    <row r="1143" ht="14.4" customHeight="1" s="88"/>
    <row r="1144" ht="14.4" customHeight="1" s="88"/>
    <row r="1145" ht="14.4" customHeight="1" s="88"/>
    <row r="1146" ht="14.4" customHeight="1" s="88"/>
    <row r="1147" ht="14.4" customHeight="1" s="88"/>
    <row r="1148" ht="14.4" customHeight="1" s="88"/>
    <row r="1149" ht="14.4" customHeight="1" s="88"/>
    <row r="1150" ht="14.4" customHeight="1" s="88"/>
    <row r="1151" ht="14.4" customHeight="1" s="88"/>
    <row r="1152" ht="14.4" customHeight="1" s="88"/>
    <row r="1153" ht="14.4" customHeight="1" s="88"/>
    <row r="1154" ht="14.4" customHeight="1" s="88"/>
    <row r="1155" ht="14.4" customHeight="1" s="88"/>
    <row r="1156" ht="14.4" customHeight="1" s="88"/>
    <row r="1157" ht="14.4" customHeight="1" s="88"/>
    <row r="1158" ht="14.4" customHeight="1" s="88"/>
    <row r="1159" ht="14.4" customHeight="1" s="88"/>
    <row r="1160" ht="14.4" customHeight="1" s="88"/>
    <row r="1161" ht="14.4" customHeight="1" s="88"/>
    <row r="1162" ht="14.4" customHeight="1" s="88"/>
    <row r="1163" ht="14.4" customHeight="1" s="88"/>
    <row r="1164" ht="14.4" customHeight="1" s="88"/>
    <row r="1165" ht="14.4" customHeight="1" s="88"/>
    <row r="1166" ht="14.4" customHeight="1" s="88"/>
    <row r="1167" ht="14.4" customHeight="1" s="88"/>
    <row r="1168" ht="14.4" customHeight="1" s="88"/>
    <row r="1169" ht="14.4" customHeight="1" s="88"/>
    <row r="1170" ht="14.4" customHeight="1" s="88"/>
    <row r="1171" ht="14.4" customHeight="1" s="88"/>
    <row r="1172" ht="14.4" customHeight="1" s="88"/>
    <row r="1173" ht="14.4" customHeight="1" s="88"/>
    <row r="1174" ht="14.4" customHeight="1" s="88"/>
    <row r="1175" ht="14.4" customHeight="1" s="88"/>
    <row r="1176" ht="14.4" customHeight="1" s="88"/>
    <row r="1177" ht="14.4" customHeight="1" s="88"/>
    <row r="1178" ht="14.4" customHeight="1" s="88"/>
    <row r="1179" ht="14.4" customHeight="1" s="88"/>
    <row r="1180" ht="14.4" customHeight="1" s="88"/>
    <row r="1181" ht="14.4" customHeight="1" s="88"/>
    <row r="1182" ht="14.4" customHeight="1" s="88"/>
    <row r="1183" ht="14.4" customHeight="1" s="88"/>
    <row r="1184" ht="14.4" customHeight="1" s="88"/>
    <row r="1185" ht="14.4" customHeight="1" s="88"/>
    <row r="1186" ht="14.4" customHeight="1" s="88"/>
    <row r="1187" ht="14.4" customHeight="1" s="88"/>
    <row r="1188" ht="14.4" customHeight="1" s="88"/>
    <row r="1189" ht="14.4" customHeight="1" s="88"/>
    <row r="1190" ht="14.4" customHeight="1" s="88"/>
    <row r="1191" ht="14.4" customHeight="1" s="88"/>
    <row r="1192" ht="14.4" customHeight="1" s="88"/>
    <row r="1193" ht="14.4" customHeight="1" s="88"/>
    <row r="1194" ht="14.4" customHeight="1" s="88"/>
    <row r="1195" ht="14.4" customHeight="1" s="88"/>
    <row r="1196" ht="14.4" customHeight="1" s="88"/>
    <row r="1197" ht="14.4" customHeight="1" s="88"/>
    <row r="1198" ht="14.4" customHeight="1" s="88"/>
    <row r="1199" ht="14.4" customHeight="1" s="88"/>
    <row r="1200" ht="14.4" customHeight="1" s="88"/>
    <row r="1201" ht="14.4" customHeight="1" s="88"/>
    <row r="1202" ht="14.4" customHeight="1" s="88"/>
    <row r="1203" ht="14.4" customHeight="1" s="88"/>
    <row r="1204" ht="14.4" customHeight="1" s="88"/>
    <row r="1205" ht="14.4" customHeight="1" s="88"/>
    <row r="1206" ht="14.4" customHeight="1" s="88"/>
    <row r="1207" ht="14.4" customHeight="1" s="88"/>
    <row r="1208" ht="14.4" customHeight="1" s="88"/>
    <row r="1209" ht="14.4" customHeight="1" s="88"/>
    <row r="1210" ht="14.4" customHeight="1" s="88"/>
    <row r="1211" ht="14.4" customHeight="1" s="88"/>
    <row r="1212" ht="14.4" customHeight="1" s="88"/>
    <row r="1213" ht="14.4" customHeight="1" s="88"/>
    <row r="1214" ht="14.4" customHeight="1" s="88"/>
    <row r="1215" ht="14.4" customHeight="1" s="88"/>
    <row r="1216" ht="14.4" customHeight="1" s="88"/>
    <row r="1217" ht="14.4" customHeight="1" s="88"/>
    <row r="1218" ht="14.4" customHeight="1" s="88"/>
    <row r="1219" ht="14.4" customHeight="1" s="88"/>
    <row r="1220" ht="14.4" customHeight="1" s="88"/>
    <row r="1221" ht="14.4" customHeight="1" s="88"/>
    <row r="1222" ht="14.4" customHeight="1" s="88"/>
    <row r="1223" ht="14.4" customHeight="1" s="88"/>
    <row r="1224" ht="14.4" customHeight="1" s="88"/>
    <row r="1225" ht="14.4" customHeight="1" s="88"/>
    <row r="1226" ht="14.4" customHeight="1" s="88"/>
    <row r="1227" ht="14.4" customHeight="1" s="88"/>
    <row r="1228" ht="14.4" customHeight="1" s="88"/>
    <row r="1229" ht="14.4" customHeight="1" s="88"/>
    <row r="1230" ht="14.4" customHeight="1" s="88"/>
    <row r="1231" ht="14.4" customHeight="1" s="88"/>
    <row r="1232" ht="14.4" customHeight="1" s="88"/>
    <row r="1233" ht="14.4" customHeight="1" s="88"/>
    <row r="1234" ht="14.4" customHeight="1" s="88"/>
    <row r="1235" ht="14.4" customHeight="1" s="88"/>
    <row r="1236" ht="14.4" customHeight="1" s="88"/>
    <row r="1237" ht="14.4" customHeight="1" s="88"/>
    <row r="1238" ht="14.4" customHeight="1" s="88"/>
    <row r="1239" ht="14.4" customHeight="1" s="88"/>
    <row r="1240" ht="14.4" customHeight="1" s="88"/>
    <row r="1241" ht="14.4" customHeight="1" s="88"/>
    <row r="1242" ht="14.4" customHeight="1" s="88"/>
    <row r="1243" ht="14.4" customHeight="1" s="88"/>
    <row r="1244" ht="14.4" customHeight="1" s="88"/>
    <row r="1245" ht="14.4" customHeight="1" s="88"/>
    <row r="1246" ht="14.4" customHeight="1" s="88"/>
    <row r="1247" ht="14.4" customHeight="1" s="88"/>
    <row r="1248" ht="14.4" customHeight="1" s="88"/>
    <row r="1249" ht="14.4" customHeight="1" s="88"/>
    <row r="1250" ht="14.4" customHeight="1" s="88"/>
    <row r="1251" ht="14.4" customHeight="1" s="88"/>
    <row r="1252" ht="14.4" customHeight="1" s="88"/>
    <row r="1253" ht="14.4" customHeight="1" s="88"/>
    <row r="1254" ht="14.4" customHeight="1" s="88"/>
    <row r="1255" ht="14.4" customHeight="1" s="88"/>
    <row r="1256" ht="14.4" customHeight="1" s="88"/>
    <row r="1257" ht="14.4" customHeight="1" s="88"/>
    <row r="1258" ht="14.4" customHeight="1" s="88"/>
    <row r="1259" ht="14.4" customHeight="1" s="88"/>
    <row r="1260" ht="14.4" customHeight="1" s="88"/>
    <row r="1261" ht="14.4" customHeight="1" s="88"/>
    <row r="1262" ht="14.4" customHeight="1" s="88"/>
    <row r="1263" ht="14.4" customHeight="1" s="88"/>
    <row r="1264" ht="14.4" customHeight="1" s="88"/>
    <row r="1265" ht="14.4" customHeight="1" s="88"/>
    <row r="1266" ht="14.4" customHeight="1" s="88"/>
    <row r="1267" ht="14.4" customHeight="1" s="88"/>
    <row r="1268" ht="14.4" customHeight="1" s="88"/>
    <row r="1269" ht="14.4" customHeight="1" s="88"/>
    <row r="1270" ht="14.4" customHeight="1" s="88"/>
    <row r="1271" ht="14.4" customHeight="1" s="88"/>
    <row r="1272" ht="14.4" customHeight="1" s="88"/>
    <row r="1273" ht="14.4" customHeight="1" s="88"/>
    <row r="1274" ht="14.4" customHeight="1" s="88"/>
    <row r="1275" ht="14.4" customHeight="1" s="88"/>
    <row r="1276" ht="14.4" customHeight="1" s="88"/>
    <row r="1277" ht="14.4" customHeight="1" s="88"/>
    <row r="1278" ht="14.4" customHeight="1" s="88"/>
    <row r="1279" ht="14.4" customHeight="1" s="88"/>
    <row r="1280" ht="14.4" customHeight="1" s="88"/>
    <row r="1281" ht="14.4" customHeight="1" s="88"/>
    <row r="1282" ht="14.4" customHeight="1" s="88"/>
    <row r="1283" ht="14.4" customHeight="1" s="88"/>
    <row r="1284" ht="14.4" customHeight="1" s="88"/>
    <row r="1285" ht="14.4" customHeight="1" s="88"/>
    <row r="1286" ht="14.4" customHeight="1" s="88"/>
    <row r="1287" ht="14.4" customHeight="1" s="88"/>
    <row r="1288" ht="14.4" customHeight="1" s="88"/>
    <row r="1289" ht="14.4" customHeight="1" s="88"/>
    <row r="1290" ht="14.4" customHeight="1" s="88"/>
    <row r="1291" ht="14.4" customHeight="1" s="88"/>
    <row r="1292" ht="14.4" customHeight="1" s="88"/>
    <row r="1293" ht="14.4" customHeight="1" s="88"/>
    <row r="1294" ht="14.4" customHeight="1" s="88"/>
    <row r="1295" ht="14.4" customHeight="1" s="88"/>
    <row r="1296" ht="14.4" customHeight="1" s="88"/>
    <row r="1297" ht="14.4" customHeight="1" s="88"/>
    <row r="1298" ht="14.4" customHeight="1" s="88"/>
    <row r="1299" ht="14.4" customHeight="1" s="88"/>
    <row r="1300" ht="14.4" customHeight="1" s="88"/>
    <row r="1301" ht="14.4" customHeight="1" s="88"/>
    <row r="1302" ht="14.4" customHeight="1" s="88"/>
    <row r="1303" ht="14.4" customHeight="1" s="88"/>
    <row r="1304" ht="14.4" customHeight="1" s="88"/>
    <row r="1305" ht="14.4" customHeight="1" s="88"/>
    <row r="1306" ht="14.4" customHeight="1" s="88"/>
    <row r="1307" ht="14.4" customHeight="1" s="88"/>
    <row r="1308" ht="14.4" customHeight="1" s="88"/>
    <row r="1309" ht="14.4" customHeight="1" s="88"/>
    <row r="1310" ht="14.4" customHeight="1" s="88"/>
    <row r="1311" ht="14.4" customHeight="1" s="88"/>
    <row r="1312" ht="14.4" customHeight="1" s="88"/>
    <row r="1313" ht="14.4" customHeight="1" s="88"/>
    <row r="1314" ht="14.4" customHeight="1" s="88"/>
    <row r="1315" ht="14.4" customHeight="1" s="88"/>
    <row r="1316" ht="14.4" customHeight="1" s="88"/>
    <row r="1317" ht="14.4" customHeight="1" s="88"/>
    <row r="1318" ht="14.4" customHeight="1" s="88"/>
    <row r="1319" ht="14.4" customHeight="1" s="88"/>
    <row r="1320" ht="14.4" customHeight="1" s="88"/>
    <row r="1321" ht="14.4" customHeight="1" s="88"/>
    <row r="1322" ht="14.4" customHeight="1" s="88"/>
    <row r="1323" ht="14.4" customHeight="1" s="88"/>
    <row r="1324" ht="14.4" customHeight="1" s="88"/>
    <row r="1325" ht="14.4" customHeight="1" s="88"/>
    <row r="1326" ht="14.4" customHeight="1" s="88"/>
    <row r="1327" ht="14.4" customHeight="1" s="88"/>
    <row r="1328" ht="14.4" customHeight="1" s="88"/>
    <row r="1329" ht="14.4" customHeight="1" s="88"/>
    <row r="1330" ht="14.4" customHeight="1" s="88"/>
    <row r="1331" ht="14.4" customHeight="1" s="88"/>
    <row r="1332" ht="14.4" customHeight="1" s="88"/>
    <row r="1333" ht="14.4" customHeight="1" s="88"/>
    <row r="1334" ht="14.4" customHeight="1" s="88"/>
    <row r="1335" ht="14.4" customHeight="1" s="88"/>
    <row r="1336" ht="14.4" customHeight="1" s="88"/>
    <row r="1337" ht="14.4" customHeight="1" s="88"/>
    <row r="1338" ht="14.4" customHeight="1" s="88"/>
    <row r="1339" ht="14.4" customHeight="1" s="88"/>
    <row r="1340" ht="14.4" customHeight="1" s="88"/>
    <row r="1341" ht="14.4" customHeight="1" s="88"/>
    <row r="1342" ht="14.4" customHeight="1" s="88"/>
    <row r="1343" ht="14.4" customHeight="1" s="88"/>
    <row r="1344" ht="14.4" customHeight="1" s="88"/>
    <row r="1345" ht="14.4" customHeight="1" s="88"/>
    <row r="1346" ht="14.4" customHeight="1" s="88"/>
    <row r="1347" ht="14.4" customHeight="1" s="88"/>
    <row r="1348" ht="14.4" customHeight="1" s="88"/>
    <row r="1349" ht="14.4" customHeight="1" s="88"/>
    <row r="1350" ht="14.4" customHeight="1" s="88"/>
    <row r="1351" ht="14.4" customHeight="1" s="88"/>
    <row r="1352" ht="14.4" customHeight="1" s="88"/>
    <row r="1353" ht="14.4" customHeight="1" s="88"/>
    <row r="1354" ht="14.4" customHeight="1" s="88"/>
    <row r="1355" ht="14.4" customHeight="1" s="88"/>
    <row r="1356" ht="14.4" customHeight="1" s="88"/>
    <row r="1357" ht="14.4" customHeight="1" s="88"/>
    <row r="1358" ht="14.4" customHeight="1" s="88"/>
    <row r="1359" ht="14.4" customHeight="1" s="88"/>
    <row r="1360" ht="14.4" customHeight="1" s="88"/>
    <row r="1361" ht="14.4" customHeight="1" s="88"/>
    <row r="1362" ht="14.4" customHeight="1" s="88"/>
    <row r="1363" ht="14.4" customHeight="1" s="88"/>
    <row r="1364" ht="14.4" customHeight="1" s="88"/>
    <row r="1365" ht="14.4" customHeight="1" s="88"/>
    <row r="1366" ht="14.4" customHeight="1" s="88"/>
    <row r="1367" ht="14.4" customHeight="1" s="88"/>
    <row r="1368" ht="14.4" customHeight="1" s="88"/>
    <row r="1369" ht="14.4" customHeight="1" s="88"/>
    <row r="1370" ht="14.4" customHeight="1" s="88"/>
    <row r="1371" ht="14.4" customHeight="1" s="88"/>
    <row r="1372" ht="14.4" customHeight="1" s="88"/>
    <row r="1373" ht="14.4" customHeight="1" s="88"/>
    <row r="1374" ht="14.4" customHeight="1" s="88"/>
    <row r="1375" ht="14.4" customHeight="1" s="88"/>
    <row r="1376" ht="14.4" customHeight="1" s="88"/>
    <row r="1377" ht="14.4" customHeight="1" s="88"/>
    <row r="1378" ht="14.4" customHeight="1" s="88"/>
    <row r="1379" ht="14.4" customHeight="1" s="88"/>
    <row r="1380" ht="14.4" customHeight="1" s="88"/>
    <row r="1381" ht="14.4" customHeight="1" s="88"/>
    <row r="1382" ht="14.4" customHeight="1" s="88"/>
    <row r="1383" ht="14.4" customHeight="1" s="88"/>
    <row r="1384" ht="14.4" customHeight="1" s="88"/>
    <row r="1385" ht="14.4" customHeight="1" s="88"/>
    <row r="1386" ht="14.4" customHeight="1" s="88"/>
    <row r="1387" ht="14.4" customHeight="1" s="88"/>
    <row r="1388" ht="14.4" customHeight="1" s="88"/>
    <row r="1389" ht="14.4" customHeight="1" s="88"/>
    <row r="1390" ht="14.4" customHeight="1" s="88"/>
    <row r="1391" ht="14.4" customHeight="1" s="88"/>
    <row r="1392" ht="14.4" customHeight="1" s="88"/>
    <row r="1393" ht="14.4" customHeight="1" s="88"/>
    <row r="1394" ht="14.4" customHeight="1" s="88"/>
    <row r="1395" ht="14.4" customHeight="1" s="88"/>
    <row r="1396" ht="14.4" customHeight="1" s="88"/>
    <row r="1397" ht="14.4" customHeight="1" s="88"/>
    <row r="1398" ht="14.4" customHeight="1" s="88"/>
    <row r="1399" ht="14.4" customHeight="1" s="88"/>
    <row r="1400" ht="14.4" customHeight="1" s="88"/>
    <row r="1401" ht="14.4" customHeight="1" s="88"/>
    <row r="1402" ht="14.4" customHeight="1" s="88"/>
    <row r="1403" ht="14.4" customHeight="1" s="88"/>
    <row r="1404" ht="14.4" customHeight="1" s="88"/>
    <row r="1405" ht="14.4" customHeight="1" s="88"/>
    <row r="1406" ht="14.4" customHeight="1" s="88"/>
    <row r="1407" ht="14.4" customHeight="1" s="88"/>
    <row r="1408" ht="14.4" customHeight="1" s="88"/>
    <row r="1409" ht="14.4" customHeight="1" s="88"/>
    <row r="1410" ht="14.4" customHeight="1" s="88"/>
    <row r="1411" ht="14.4" customHeight="1" s="88"/>
    <row r="1412" ht="14.4" customHeight="1" s="88"/>
    <row r="1413" ht="14.4" customHeight="1" s="88"/>
    <row r="1414" ht="14.4" customHeight="1" s="88"/>
    <row r="1415" ht="14.4" customHeight="1" s="88"/>
    <row r="1416" ht="14.4" customHeight="1" s="88"/>
    <row r="1417" ht="14.4" customHeight="1" s="88"/>
    <row r="1418" ht="14.4" customHeight="1" s="88"/>
    <row r="1419" ht="14.4" customHeight="1" s="88"/>
    <row r="1420" ht="14.4" customHeight="1" s="88"/>
    <row r="1421" ht="14.4" customHeight="1" s="88"/>
    <row r="1422" ht="14.4" customHeight="1" s="88"/>
    <row r="1423" ht="14.4" customHeight="1" s="88"/>
    <row r="1424" ht="14.4" customHeight="1" s="88"/>
    <row r="1425" ht="14.4" customHeight="1" s="88"/>
    <row r="1426" ht="14.4" customHeight="1" s="88"/>
    <row r="1427" ht="14.4" customHeight="1" s="88"/>
    <row r="1428" ht="14.4" customHeight="1" s="88"/>
    <row r="1429" ht="14.4" customHeight="1" s="88"/>
    <row r="1430" ht="14.4" customHeight="1" s="88"/>
    <row r="1431" ht="14.4" customHeight="1" s="88"/>
    <row r="1432" ht="14.4" customHeight="1" s="88"/>
    <row r="1433" ht="14.4" customHeight="1" s="88"/>
    <row r="1434" ht="14.4" customHeight="1" s="88"/>
    <row r="1435" ht="14.4" customHeight="1" s="88"/>
    <row r="1436" ht="14.4" customHeight="1" s="88"/>
    <row r="1437" ht="14.4" customHeight="1" s="88"/>
    <row r="1438" ht="14.4" customHeight="1" s="88"/>
    <row r="1439" ht="14.4" customHeight="1" s="88"/>
    <row r="1440" ht="14.4" customHeight="1" s="88"/>
    <row r="1441" ht="14.4" customHeight="1" s="88"/>
    <row r="1442" ht="14.4" customHeight="1" s="88"/>
    <row r="1443" ht="14.4" customHeight="1" s="88"/>
    <row r="1444" ht="14.4" customHeight="1" s="88"/>
    <row r="1445" ht="14.4" customHeight="1" s="88"/>
    <row r="1446" ht="14.4" customHeight="1" s="88"/>
    <row r="1447" ht="14.4" customHeight="1" s="88"/>
    <row r="1448" ht="14.4" customHeight="1" s="88"/>
    <row r="1449" ht="14.4" customHeight="1" s="88"/>
    <row r="1450" ht="14.4" customHeight="1" s="88"/>
    <row r="1451" ht="14.4" customHeight="1" s="88"/>
    <row r="1452" ht="14.4" customHeight="1" s="88"/>
    <row r="1453" ht="14.4" customHeight="1" s="88"/>
    <row r="1454" ht="14.4" customHeight="1" s="88"/>
    <row r="1455" ht="14.4" customHeight="1" s="88"/>
    <row r="1456" ht="14.4" customHeight="1" s="88"/>
    <row r="1457" ht="14.4" customHeight="1" s="88"/>
    <row r="1458" ht="14.4" customHeight="1" s="88"/>
    <row r="1459" ht="14.4" customHeight="1" s="88"/>
    <row r="1460" ht="14.4" customHeight="1" s="88"/>
    <row r="1461" ht="14.4" customHeight="1" s="88"/>
    <row r="1462" ht="14.4" customHeight="1" s="88"/>
    <row r="1463" ht="14.4" customHeight="1" s="88"/>
    <row r="1464" ht="14.4" customHeight="1" s="88"/>
    <row r="1465" ht="14.4" customHeight="1" s="88"/>
    <row r="1466" ht="14.4" customHeight="1" s="88"/>
    <row r="1467" ht="14.4" customHeight="1" s="88"/>
    <row r="1468" ht="14.4" customHeight="1" s="88"/>
    <row r="1469" ht="14.4" customHeight="1" s="88"/>
    <row r="1470" ht="14.4" customHeight="1" s="88"/>
    <row r="1471" ht="14.4" customHeight="1" s="88"/>
    <row r="1472" ht="14.4" customHeight="1" s="88"/>
    <row r="1473" ht="14.4" customHeight="1" s="88"/>
    <row r="1474" ht="14.4" customHeight="1" s="88"/>
    <row r="1475" ht="14.4" customHeight="1" s="88"/>
    <row r="1476" ht="14.4" customHeight="1" s="88"/>
    <row r="1477" ht="14.4" customHeight="1" s="88"/>
    <row r="1478" ht="14.4" customHeight="1" s="88"/>
    <row r="1479" ht="14.4" customHeight="1" s="88"/>
    <row r="1480" ht="14.4" customHeight="1" s="88"/>
    <row r="1481" ht="14.4" customHeight="1" s="88"/>
    <row r="1482" ht="14.4" customHeight="1" s="88"/>
    <row r="1483" ht="14.4" customHeight="1" s="88"/>
    <row r="1484" ht="14.4" customHeight="1" s="88"/>
    <row r="1485" ht="14.4" customHeight="1" s="88"/>
    <row r="1486" ht="14.4" customHeight="1" s="88"/>
    <row r="1487" ht="14.4" customHeight="1" s="88"/>
    <row r="1488" ht="14.4" customHeight="1" s="88"/>
    <row r="1489" ht="14.4" customHeight="1" s="88"/>
    <row r="1490" ht="14.4" customHeight="1" s="88"/>
    <row r="1491" ht="14.4" customHeight="1" s="88"/>
    <row r="1492" ht="14.4" customHeight="1" s="88"/>
    <row r="1493" ht="14.4" customHeight="1" s="88"/>
    <row r="1494" ht="14.4" customHeight="1" s="88"/>
    <row r="1495" ht="14.4" customHeight="1" s="88"/>
    <row r="1496" ht="14.4" customHeight="1" s="88"/>
    <row r="1497" ht="14.4" customHeight="1" s="88"/>
    <row r="1498" ht="14.4" customHeight="1" s="88"/>
    <row r="1499" ht="14.4" customHeight="1" s="88"/>
    <row r="1500" ht="14.4" customHeight="1" s="88"/>
    <row r="1501" ht="14.4" customHeight="1" s="88"/>
    <row r="1502" ht="14.4" customHeight="1" s="88"/>
    <row r="1503" ht="14.4" customHeight="1" s="88"/>
    <row r="1504" ht="14.4" customHeight="1" s="88"/>
    <row r="1505" ht="14.4" customHeight="1" s="88"/>
    <row r="1506" ht="14.4" customHeight="1" s="88"/>
    <row r="1507" ht="14.4" customHeight="1" s="88"/>
    <row r="1508" ht="14.4" customHeight="1" s="88"/>
    <row r="1509" ht="14.4" customHeight="1" s="88"/>
    <row r="1510" ht="14.4" customHeight="1" s="88"/>
    <row r="1511" ht="14.4" customHeight="1" s="88"/>
    <row r="1512" ht="14.4" customHeight="1" s="88"/>
    <row r="1513" ht="14.4" customHeight="1" s="88"/>
    <row r="1514" ht="14.4" customHeight="1" s="88"/>
    <row r="1515" ht="14.4" customHeight="1" s="88"/>
    <row r="1516" ht="14.4" customHeight="1" s="88"/>
    <row r="1517" ht="14.4" customHeight="1" s="88"/>
    <row r="1518" ht="14.4" customHeight="1" s="88"/>
    <row r="1519" ht="14.4" customHeight="1" s="88"/>
    <row r="1520" ht="14.4" customHeight="1" s="88"/>
    <row r="1521" ht="14.4" customHeight="1" s="88"/>
    <row r="1522" ht="14.4" customHeight="1" s="88"/>
    <row r="1523" ht="14.4" customHeight="1" s="88"/>
    <row r="1524" ht="14.4" customHeight="1" s="88"/>
    <row r="1525" ht="14.4" customHeight="1" s="88"/>
    <row r="1526" ht="14.4" customHeight="1" s="88"/>
    <row r="1527" ht="14.4" customHeight="1" s="88"/>
    <row r="1528" ht="14.4" customHeight="1" s="88"/>
    <row r="1529" ht="14.4" customHeight="1" s="88"/>
    <row r="1530" ht="14.4" customHeight="1" s="88"/>
    <row r="1531" ht="14.4" customHeight="1" s="88"/>
    <row r="1532" ht="14.4" customHeight="1" s="88"/>
    <row r="1533" ht="14.4" customHeight="1" s="88"/>
    <row r="1534" ht="14.4" customHeight="1" s="88"/>
    <row r="1535" ht="14.4" customHeight="1" s="88"/>
    <row r="1536" ht="14.4" customHeight="1" s="88"/>
    <row r="1537" ht="14.4" customHeight="1" s="88"/>
    <row r="1538" ht="14.4" customHeight="1" s="88"/>
    <row r="1539" ht="14.4" customHeight="1" s="88"/>
    <row r="1540" ht="14.4" customHeight="1" s="88"/>
    <row r="1541" ht="14.4" customHeight="1" s="88"/>
    <row r="1542" ht="14.4" customHeight="1" s="88"/>
    <row r="1543" ht="14.4" customHeight="1" s="88"/>
    <row r="1544" ht="14.4" customHeight="1" s="88"/>
    <row r="1545" ht="14.4" customHeight="1" s="88"/>
    <row r="1546" ht="14.4" customHeight="1" s="88"/>
    <row r="1547" ht="14.4" customHeight="1" s="88"/>
    <row r="1548" ht="14.4" customHeight="1" s="88"/>
    <row r="1549" ht="14.4" customHeight="1" s="88"/>
    <row r="1550" ht="14.4" customHeight="1" s="88"/>
    <row r="1551" ht="14.4" customHeight="1" s="88"/>
    <row r="1552" ht="14.4" customHeight="1" s="88"/>
    <row r="1553" ht="14.4" customHeight="1" s="88"/>
    <row r="1554" ht="14.4" customHeight="1" s="88"/>
    <row r="1555" ht="14.4" customHeight="1" s="88"/>
    <row r="1556" ht="14.4" customHeight="1" s="88"/>
    <row r="1557" ht="14.4" customHeight="1" s="88"/>
    <row r="1558" ht="14.4" customHeight="1" s="88"/>
    <row r="1559" ht="14.4" customHeight="1" s="88"/>
    <row r="1560" ht="14.4" customHeight="1" s="88"/>
    <row r="1561" ht="14.4" customHeight="1" s="88"/>
    <row r="1562" ht="14.4" customHeight="1" s="88"/>
    <row r="1563" ht="14.4" customHeight="1" s="88"/>
    <row r="1564" ht="14.4" customHeight="1" s="88"/>
    <row r="1565" ht="14.4" customHeight="1" s="88"/>
    <row r="1566" ht="14.4" customHeight="1" s="88"/>
    <row r="1567" ht="14.4" customHeight="1" s="88"/>
    <row r="1568" ht="14.4" customHeight="1" s="88"/>
    <row r="1569" ht="14.4" customHeight="1" s="88"/>
    <row r="1570" ht="14.4" customHeight="1" s="88"/>
    <row r="1571" ht="14.4" customHeight="1" s="88"/>
    <row r="1572" ht="14.4" customHeight="1" s="88"/>
    <row r="1573" ht="14.4" customHeight="1" s="88"/>
    <row r="1574" ht="14.4" customHeight="1" s="88"/>
    <row r="1575" ht="14.4" customHeight="1" s="88"/>
    <row r="1576" ht="14.4" customHeight="1" s="88"/>
    <row r="1577" ht="14.4" customHeight="1" s="88"/>
    <row r="1578" ht="14.4" customHeight="1" s="88"/>
    <row r="1579" ht="14.4" customHeight="1" s="88"/>
    <row r="1580" ht="14.4" customHeight="1" s="88"/>
    <row r="1581" ht="14.4" customHeight="1" s="88"/>
    <row r="1582" ht="14.4" customHeight="1" s="88"/>
    <row r="1583" ht="14.4" customHeight="1" s="88"/>
    <row r="1584" ht="14.4" customHeight="1" s="88"/>
    <row r="1585" ht="14.4" customHeight="1" s="88"/>
    <row r="1586" ht="14.4" customHeight="1" s="88"/>
    <row r="1587" ht="14.4" customHeight="1" s="88"/>
    <row r="1588" ht="14.4" customHeight="1" s="88"/>
    <row r="1589" ht="14.4" customHeight="1" s="88"/>
    <row r="1590" ht="14.4" customHeight="1" s="88"/>
    <row r="1591" ht="14.4" customHeight="1" s="88"/>
    <row r="1592" ht="14.4" customHeight="1" s="88"/>
    <row r="1593" ht="14.4" customHeight="1" s="88"/>
    <row r="1594" ht="14.4" customHeight="1" s="88"/>
    <row r="1595" ht="14.4" customHeight="1" s="88"/>
    <row r="1596" ht="14.4" customHeight="1" s="88"/>
    <row r="1597" ht="14.4" customHeight="1" s="88"/>
    <row r="1598" ht="14.4" customHeight="1" s="88"/>
    <row r="1599" ht="14.4" customHeight="1" s="88"/>
    <row r="1600" ht="14.4" customHeight="1" s="88"/>
    <row r="1601" ht="14.4" customHeight="1" s="88"/>
    <row r="1602" ht="14.4" customHeight="1" s="88"/>
    <row r="1603" ht="14.4" customHeight="1" s="88"/>
    <row r="1604" ht="14.4" customHeight="1" s="88"/>
    <row r="1605" ht="14.4" customHeight="1" s="88"/>
    <row r="1606" ht="14.4" customHeight="1" s="88"/>
    <row r="1607" ht="14.4" customHeight="1" s="88"/>
    <row r="1608" ht="14.4" customHeight="1" s="88"/>
    <row r="1609" ht="14.4" customHeight="1" s="88"/>
    <row r="1610" ht="14.4" customHeight="1" s="88"/>
    <row r="1611" ht="14.4" customHeight="1" s="88"/>
    <row r="1612" ht="14.4" customHeight="1" s="88"/>
    <row r="1613" ht="14.4" customHeight="1" s="88"/>
    <row r="1614" ht="14.4" customHeight="1" s="88"/>
    <row r="1615" ht="14.4" customHeight="1" s="88"/>
    <row r="1616" ht="14.4" customHeight="1" s="88"/>
    <row r="1617" ht="14.4" customHeight="1" s="88"/>
    <row r="1618" ht="14.4" customHeight="1" s="88"/>
    <row r="1619" ht="14.4" customHeight="1" s="88"/>
    <row r="1620" ht="14.4" customHeight="1" s="88"/>
    <row r="1621" ht="14.4" customHeight="1" s="88"/>
    <row r="1622" ht="14.4" customHeight="1" s="88"/>
    <row r="1623" ht="14.4" customHeight="1" s="88"/>
    <row r="1624" ht="14.4" customHeight="1" s="88"/>
    <row r="1625" ht="14.4" customHeight="1" s="88"/>
    <row r="1626" ht="14.4" customHeight="1" s="88"/>
    <row r="1627" ht="14.4" customHeight="1" s="88"/>
    <row r="1628" ht="14.4" customHeight="1" s="88"/>
    <row r="1629" ht="14.4" customHeight="1" s="88"/>
    <row r="1630" ht="14.4" customHeight="1" s="88"/>
    <row r="1631" ht="14.4" customHeight="1" s="88"/>
    <row r="1632" ht="14.4" customHeight="1" s="88"/>
    <row r="1633" ht="14.4" customHeight="1" s="88"/>
    <row r="1634" ht="14.4" customHeight="1" s="88"/>
    <row r="1635" ht="14.4" customHeight="1" s="88"/>
    <row r="1636" ht="14.4" customHeight="1" s="88"/>
    <row r="1637" ht="14.4" customHeight="1" s="88"/>
    <row r="1638" ht="14.4" customHeight="1" s="88"/>
    <row r="1639" ht="14.4" customHeight="1" s="88"/>
    <row r="1640" ht="14.4" customHeight="1" s="88"/>
    <row r="1641" ht="14.4" customHeight="1" s="88"/>
    <row r="1642" ht="14.4" customHeight="1" s="88"/>
    <row r="1643" ht="14.4" customHeight="1" s="88"/>
    <row r="1644" ht="14.4" customHeight="1" s="88"/>
    <row r="1645" ht="14.4" customHeight="1" s="88"/>
    <row r="1646" ht="14.4" customHeight="1" s="88"/>
    <row r="1647" ht="14.4" customHeight="1" s="88"/>
    <row r="1648" ht="14.4" customHeight="1" s="88"/>
    <row r="1649" ht="14.4" customHeight="1" s="88"/>
    <row r="1650" ht="14.4" customHeight="1" s="88"/>
    <row r="1651" ht="14.4" customHeight="1" s="88"/>
    <row r="1652" ht="14.4" customHeight="1" s="88"/>
    <row r="1653" ht="14.4" customHeight="1" s="88"/>
    <row r="1654" ht="14.4" customHeight="1" s="88"/>
    <row r="1655" ht="14.4" customHeight="1" s="88"/>
    <row r="1656" ht="14.4" customHeight="1" s="88"/>
    <row r="1657" ht="14.4" customHeight="1" s="88"/>
    <row r="1658" ht="14.4" customHeight="1" s="88"/>
    <row r="1659" ht="14.4" customHeight="1" s="88"/>
    <row r="1660" ht="14.4" customHeight="1" s="88"/>
    <row r="1661" ht="14.4" customHeight="1" s="88"/>
    <row r="1662" ht="14.4" customHeight="1" s="88"/>
    <row r="1663" ht="14.4" customHeight="1" s="88"/>
    <row r="1664" ht="14.4" customHeight="1" s="88"/>
    <row r="1665" ht="14.4" customHeight="1" s="88"/>
    <row r="1666" ht="14.4" customHeight="1" s="88"/>
    <row r="1667" ht="14.4" customHeight="1" s="88"/>
    <row r="1668" ht="14.4" customHeight="1" s="88"/>
    <row r="1669" ht="14.4" customHeight="1" s="88"/>
    <row r="1670" ht="14.4" customHeight="1" s="88"/>
    <row r="1671" ht="14.4" customHeight="1" s="88"/>
    <row r="1672" ht="14.4" customHeight="1" s="88"/>
    <row r="1673" ht="14.4" customHeight="1" s="88"/>
    <row r="1674" ht="14.4" customHeight="1" s="88"/>
    <row r="1675" ht="14.4" customHeight="1" s="88"/>
    <row r="1676" ht="14.4" customHeight="1" s="88"/>
    <row r="1677" ht="14.4" customHeight="1" s="88"/>
    <row r="1678" ht="14.4" customHeight="1" s="88"/>
    <row r="1679" ht="14.4" customHeight="1" s="88"/>
    <row r="1680" ht="14.4" customHeight="1" s="88"/>
    <row r="1681" ht="14.4" customHeight="1" s="88"/>
    <row r="1682" ht="14.4" customHeight="1" s="88"/>
    <row r="1683" ht="14.4" customHeight="1" s="88"/>
    <row r="1684" ht="14.4" customHeight="1" s="88"/>
    <row r="1685" ht="14.4" customHeight="1" s="88"/>
    <row r="1686" ht="14.4" customHeight="1" s="88"/>
    <row r="1687" ht="14.4" customHeight="1" s="88"/>
    <row r="1688" ht="14.4" customHeight="1" s="88"/>
    <row r="1689" ht="14.4" customHeight="1" s="88"/>
    <row r="1690" ht="14.4" customHeight="1" s="88"/>
    <row r="1691" ht="14.4" customHeight="1" s="88"/>
    <row r="1692" ht="14.4" customHeight="1" s="88"/>
    <row r="1693" ht="14.4" customHeight="1" s="88"/>
    <row r="1694" ht="14.4" customHeight="1" s="88"/>
    <row r="1695" ht="14.4" customHeight="1" s="88"/>
    <row r="1696" ht="14.4" customHeight="1" s="88"/>
    <row r="1697" ht="14.4" customHeight="1" s="88"/>
    <row r="1698" ht="14.4" customHeight="1" s="88"/>
    <row r="1699" ht="14.4" customHeight="1" s="88"/>
    <row r="1700" ht="14.4" customHeight="1" s="88"/>
    <row r="1701" ht="14.4" customHeight="1" s="88"/>
    <row r="1702" ht="14.4" customHeight="1" s="88"/>
    <row r="1703" ht="14.4" customHeight="1" s="88"/>
    <row r="1704" ht="14.4" customHeight="1" s="88"/>
    <row r="1705" ht="14.4" customHeight="1" s="88"/>
    <row r="1706" ht="14.4" customHeight="1" s="88"/>
    <row r="1707" ht="14.4" customHeight="1" s="88"/>
    <row r="1708" ht="14.4" customHeight="1" s="88"/>
    <row r="1709" ht="14.4" customHeight="1" s="88"/>
    <row r="1710" ht="14.4" customHeight="1" s="88"/>
    <row r="1711" ht="14.4" customHeight="1" s="88"/>
    <row r="1712" ht="14.4" customHeight="1" s="88"/>
    <row r="1713" ht="14.4" customHeight="1" s="88"/>
    <row r="1714" ht="14.4" customHeight="1" s="88"/>
    <row r="1715" ht="14.4" customHeight="1" s="88"/>
    <row r="1716" ht="14.4" customHeight="1" s="88"/>
    <row r="1717" ht="14.4" customHeight="1" s="88"/>
    <row r="1718" ht="14.4" customHeight="1" s="88"/>
    <row r="1719" ht="14.4" customHeight="1" s="88"/>
    <row r="1720" ht="14.4" customHeight="1" s="88"/>
    <row r="1721" ht="14.4" customHeight="1" s="88"/>
    <row r="1722" ht="14.4" customHeight="1" s="88"/>
    <row r="1723" ht="14.4" customHeight="1" s="88"/>
    <row r="1724" ht="14.4" customHeight="1" s="88"/>
    <row r="1725" ht="14.4" customHeight="1" s="88"/>
    <row r="1726" ht="14.4" customHeight="1" s="88"/>
    <row r="1727" ht="14.4" customHeight="1" s="88"/>
    <row r="1728" ht="14.4" customHeight="1" s="88"/>
    <row r="1729" ht="14.4" customHeight="1" s="88"/>
    <row r="1730" ht="14.4" customHeight="1" s="88"/>
    <row r="1731" ht="14.4" customHeight="1" s="88"/>
    <row r="1732" ht="14.4" customHeight="1" s="88"/>
    <row r="1733" ht="14.4" customHeight="1" s="88"/>
    <row r="1734" ht="14.4" customHeight="1" s="88"/>
    <row r="1735" ht="14.4" customHeight="1" s="88"/>
    <row r="1736" ht="14.4" customHeight="1" s="88"/>
    <row r="1737" ht="14.4" customHeight="1" s="88"/>
    <row r="1738" ht="14.4" customHeight="1" s="88"/>
    <row r="1739" ht="14.4" customHeight="1" s="88"/>
    <row r="1740" ht="14.4" customHeight="1" s="88"/>
    <row r="1741" ht="14.4" customHeight="1" s="88"/>
    <row r="1742" ht="14.4" customHeight="1" s="88"/>
    <row r="1743" ht="14.4" customHeight="1" s="88"/>
    <row r="1744" ht="14.4" customHeight="1" s="88"/>
    <row r="1745" ht="14.4" customHeight="1" s="88"/>
    <row r="1746" ht="14.4" customHeight="1" s="88"/>
    <row r="1747" ht="14.4" customHeight="1" s="88"/>
    <row r="1748" ht="14.4" customHeight="1" s="88"/>
    <row r="1749" ht="14.4" customHeight="1" s="88"/>
    <row r="1750" ht="14.4" customHeight="1" s="88"/>
    <row r="1751" ht="14.4" customHeight="1" s="88"/>
    <row r="1752" ht="14.4" customHeight="1" s="88"/>
    <row r="1753" ht="14.4" customHeight="1" s="88"/>
    <row r="1754" ht="14.4" customHeight="1" s="88"/>
    <row r="1755" ht="14.4" customHeight="1" s="88"/>
    <row r="1756" ht="14.4" customHeight="1" s="88"/>
    <row r="1757" ht="14.4" customHeight="1" s="88"/>
    <row r="1758" ht="14.4" customHeight="1" s="88"/>
    <row r="1759" ht="14.4" customHeight="1" s="88"/>
    <row r="1760" ht="14.4" customHeight="1" s="88"/>
    <row r="1761" ht="14.4" customHeight="1" s="88"/>
    <row r="1762" ht="14.4" customHeight="1" s="88"/>
    <row r="1763" ht="14.4" customHeight="1" s="88"/>
    <row r="1764" ht="14.4" customHeight="1" s="88"/>
    <row r="1765" ht="14.4" customHeight="1" s="88"/>
    <row r="1766" ht="14.4" customHeight="1" s="88"/>
    <row r="1767" ht="14.4" customHeight="1" s="88"/>
    <row r="1768" ht="14.4" customHeight="1" s="88"/>
    <row r="1769" ht="14.4" customHeight="1" s="88"/>
    <row r="1770" ht="14.4" customHeight="1" s="88"/>
    <row r="1771" ht="14.4" customHeight="1" s="88"/>
    <row r="1772" ht="14.4" customHeight="1" s="88"/>
    <row r="1773" ht="14.4" customHeight="1" s="88"/>
    <row r="1774" ht="14.4" customHeight="1" s="88"/>
    <row r="1775" ht="14.4" customHeight="1" s="88"/>
    <row r="1776" ht="14.4" customHeight="1" s="88"/>
    <row r="1777" ht="14.4" customHeight="1" s="88"/>
    <row r="1778" ht="14.4" customHeight="1" s="88"/>
    <row r="1779" ht="14.4" customHeight="1" s="88"/>
    <row r="1780" ht="14.4" customHeight="1" s="88"/>
    <row r="1781" ht="14.4" customHeight="1" s="88"/>
    <row r="1782" ht="14.4" customHeight="1" s="88"/>
    <row r="1783" ht="14.4" customHeight="1" s="88"/>
    <row r="1784" ht="14.4" customHeight="1" s="88"/>
    <row r="1785" ht="14.4" customHeight="1" s="88"/>
    <row r="1786" ht="14.4" customHeight="1" s="88"/>
    <row r="1787" ht="14.4" customHeight="1" s="88"/>
    <row r="1788" ht="14.4" customHeight="1" s="88"/>
    <row r="1789" ht="14.4" customHeight="1" s="88"/>
    <row r="1790" ht="14.4" customHeight="1" s="88"/>
    <row r="1791" ht="14.4" customHeight="1" s="88"/>
    <row r="1792" ht="14.4" customHeight="1" s="88"/>
    <row r="1793" ht="14.4" customHeight="1" s="88"/>
    <row r="1794" ht="14.4" customHeight="1" s="88"/>
    <row r="1795" ht="14.4" customHeight="1" s="88"/>
    <row r="1796" ht="14.4" customHeight="1" s="88"/>
    <row r="1797" ht="14.4" customHeight="1" s="88"/>
    <row r="1798" ht="14.4" customHeight="1" s="88"/>
    <row r="1799" ht="14.4" customHeight="1" s="88"/>
    <row r="1800" ht="14.4" customHeight="1" s="88"/>
    <row r="1801" ht="14.4" customHeight="1" s="88"/>
    <row r="1802" ht="14.4" customHeight="1" s="88"/>
    <row r="1803" ht="14.4" customHeight="1" s="88"/>
    <row r="1804" ht="14.4" customHeight="1" s="88"/>
    <row r="1805" ht="14.4" customHeight="1" s="88"/>
    <row r="1806" ht="14.4" customHeight="1" s="88"/>
    <row r="1807" ht="14.4" customHeight="1" s="88"/>
    <row r="1808" ht="14.4" customHeight="1" s="88"/>
    <row r="1809" ht="14.4" customHeight="1" s="88"/>
    <row r="1810" ht="14.4" customHeight="1" s="88"/>
    <row r="1811" ht="14.4" customHeight="1" s="88"/>
    <row r="1812" ht="14.4" customHeight="1" s="88"/>
    <row r="1813" ht="14.4" customHeight="1" s="88"/>
    <row r="1814" ht="14.4" customHeight="1" s="88"/>
    <row r="1815" ht="14.4" customHeight="1" s="88"/>
    <row r="1816" ht="14.4" customHeight="1" s="88"/>
    <row r="1817" ht="14.4" customHeight="1" s="88"/>
    <row r="1818" ht="14.4" customHeight="1" s="88"/>
    <row r="1819" ht="14.4" customHeight="1" s="88"/>
    <row r="1820" ht="14.4" customHeight="1" s="88"/>
    <row r="1821" ht="14.4" customHeight="1" s="88"/>
    <row r="1822" ht="14.4" customHeight="1" s="88"/>
    <row r="1823" ht="14.4" customHeight="1" s="88"/>
    <row r="1824" ht="14.4" customHeight="1" s="88"/>
    <row r="1825" ht="14.4" customHeight="1" s="88"/>
    <row r="1826" ht="14.4" customHeight="1" s="88"/>
    <row r="1827" ht="14.4" customHeight="1" s="88"/>
    <row r="1828" ht="14.4" customHeight="1" s="88"/>
    <row r="1829" ht="14.4" customHeight="1" s="88"/>
    <row r="1830" ht="14.4" customHeight="1" s="88"/>
    <row r="1831" ht="14.4" customHeight="1" s="88"/>
    <row r="1832" ht="14.4" customHeight="1" s="88"/>
    <row r="1833" ht="14.4" customHeight="1" s="88"/>
    <row r="1834" ht="14.4" customHeight="1" s="88"/>
    <row r="1835" ht="14.4" customHeight="1" s="88"/>
    <row r="1836" ht="14.4" customHeight="1" s="88"/>
    <row r="1837" ht="14.4" customHeight="1" s="88"/>
    <row r="1838" ht="14.4" customHeight="1" s="88"/>
    <row r="1839" ht="14.4" customHeight="1" s="88"/>
    <row r="1840" ht="14.4" customHeight="1" s="88"/>
    <row r="1841" ht="14.4" customHeight="1" s="88"/>
    <row r="1842" ht="14.4" customHeight="1" s="88"/>
    <row r="1843" ht="14.4" customHeight="1" s="88"/>
    <row r="1844" ht="14.4" customHeight="1" s="88"/>
    <row r="1845" ht="14.4" customHeight="1" s="88"/>
    <row r="1846" ht="14.4" customHeight="1" s="88"/>
    <row r="1847" ht="14.4" customHeight="1" s="88"/>
    <row r="1848" ht="14.4" customHeight="1" s="88"/>
    <row r="1849" ht="14.4" customHeight="1" s="88"/>
    <row r="1850" ht="14.4" customHeight="1" s="88"/>
    <row r="1851" ht="14.4" customHeight="1" s="88"/>
    <row r="1852" ht="14.4" customHeight="1" s="88"/>
    <row r="1853" ht="14.4" customHeight="1" s="88"/>
    <row r="1854" ht="14.4" customHeight="1" s="88"/>
    <row r="1855" ht="14.4" customHeight="1" s="88"/>
    <row r="1856" ht="14.4" customHeight="1" s="88"/>
    <row r="1857" ht="14.4" customHeight="1" s="88"/>
    <row r="1858" ht="14.4" customHeight="1" s="88"/>
    <row r="1859" ht="14.4" customHeight="1" s="88"/>
    <row r="1860" ht="14.4" customHeight="1" s="88"/>
    <row r="1861" ht="14.4" customHeight="1" s="88"/>
    <row r="1862" ht="14.4" customHeight="1" s="88"/>
    <row r="1863" ht="14.4" customHeight="1" s="88"/>
    <row r="1864" ht="14.4" customHeight="1" s="88"/>
    <row r="1865" ht="14.4" customHeight="1" s="88"/>
    <row r="1866" ht="14.4" customHeight="1" s="88"/>
    <row r="1867" ht="14.4" customHeight="1" s="88"/>
    <row r="1868" ht="14.4" customHeight="1" s="88"/>
    <row r="1869" ht="14.4" customHeight="1" s="88"/>
    <row r="1870" ht="14.4" customHeight="1" s="88"/>
    <row r="1871" ht="14.4" customHeight="1" s="88"/>
    <row r="1872" ht="14.4" customHeight="1" s="88"/>
    <row r="1873" ht="14.4" customHeight="1" s="88"/>
    <row r="1874" ht="14.4" customHeight="1" s="88"/>
    <row r="1875" ht="14.4" customHeight="1" s="88"/>
    <row r="1876" ht="14.4" customHeight="1" s="88"/>
    <row r="1877" ht="14.4" customHeight="1" s="88"/>
    <row r="1878" ht="14.4" customHeight="1" s="88"/>
    <row r="1879" ht="14.4" customHeight="1" s="88"/>
    <row r="1880" ht="14.4" customHeight="1" s="88"/>
    <row r="1881" ht="14.4" customHeight="1" s="88"/>
    <row r="1882" ht="14.4" customHeight="1" s="88"/>
    <row r="1883" ht="14.4" customHeight="1" s="88"/>
    <row r="1884" ht="14.4" customHeight="1" s="88"/>
    <row r="1885" ht="14.4" customHeight="1" s="88"/>
    <row r="1886" ht="14.4" customHeight="1" s="88"/>
    <row r="1887" ht="14.4" customHeight="1" s="88"/>
    <row r="1888" ht="14.4" customHeight="1" s="88"/>
    <row r="1889" ht="14.4" customHeight="1" s="88"/>
    <row r="1890" ht="14.4" customHeight="1" s="88"/>
    <row r="1891" ht="14.4" customHeight="1" s="88"/>
    <row r="1892" ht="14.4" customHeight="1" s="88"/>
    <row r="1893" ht="14.4" customHeight="1" s="88"/>
    <row r="1894" ht="14.4" customHeight="1" s="88"/>
    <row r="1895" ht="14.4" customHeight="1" s="88"/>
    <row r="1896" ht="14.4" customHeight="1" s="88"/>
    <row r="1897" ht="14.4" customHeight="1" s="88"/>
    <row r="1898" ht="14.4" customHeight="1" s="88"/>
    <row r="1899" ht="14.4" customHeight="1" s="88"/>
    <row r="1900" ht="14.4" customHeight="1" s="88"/>
    <row r="1901" ht="14.4" customHeight="1" s="88"/>
    <row r="1902" ht="14.4" customHeight="1" s="88"/>
    <row r="1903" ht="14.4" customHeight="1" s="88"/>
    <row r="1904" ht="14.4" customHeight="1" s="88"/>
    <row r="1905" ht="14.4" customHeight="1" s="88"/>
    <row r="1906" ht="14.4" customHeight="1" s="88"/>
    <row r="1907" ht="14.4" customHeight="1" s="88"/>
    <row r="1908" ht="14.4" customHeight="1" s="88"/>
    <row r="1909" ht="14.4" customHeight="1" s="88"/>
    <row r="1910" ht="14.4" customHeight="1" s="88"/>
    <row r="1911" ht="14.4" customHeight="1" s="88"/>
    <row r="1912" ht="14.4" customHeight="1" s="88"/>
    <row r="1913" ht="14.4" customHeight="1" s="88"/>
    <row r="1914" ht="14.4" customHeight="1" s="88"/>
    <row r="1915" ht="14.4" customHeight="1" s="88"/>
    <row r="1916" ht="14.4" customHeight="1" s="88"/>
    <row r="1917" ht="14.4" customHeight="1" s="88"/>
    <row r="1918" ht="14.4" customHeight="1" s="88"/>
    <row r="1919" ht="14.4" customHeight="1" s="88"/>
    <row r="1920" ht="14.4" customHeight="1" s="88"/>
    <row r="1921" ht="14.4" customHeight="1" s="88"/>
    <row r="1922" ht="14.4" customHeight="1" s="88"/>
    <row r="1923" ht="14.4" customHeight="1" s="88"/>
    <row r="1924" ht="14.4" customHeight="1" s="88"/>
    <row r="1925" ht="14.4" customHeight="1" s="88"/>
    <row r="1926" ht="14.4" customHeight="1" s="88"/>
    <row r="1927" ht="14.4" customHeight="1" s="88"/>
    <row r="1928" ht="14.4" customHeight="1" s="88"/>
    <row r="1929" ht="14.4" customHeight="1" s="88"/>
    <row r="1930" ht="14.4" customHeight="1" s="88"/>
    <row r="1931" ht="14.4" customHeight="1" s="88"/>
    <row r="1932" ht="14.4" customHeight="1" s="88"/>
    <row r="1933" ht="14.4" customHeight="1" s="88"/>
    <row r="1934" ht="14.4" customHeight="1" s="88"/>
    <row r="1935" ht="14.4" customHeight="1" s="88"/>
    <row r="1936" ht="14.4" customHeight="1" s="88"/>
    <row r="1937" ht="14.4" customHeight="1" s="88"/>
    <row r="1938" ht="14.4" customHeight="1" s="88"/>
    <row r="1939" ht="14.4" customHeight="1" s="88"/>
    <row r="1940" ht="14.4" customHeight="1" s="88"/>
    <row r="1941" ht="14.4" customHeight="1" s="88"/>
    <row r="1942" ht="14.4" customHeight="1" s="88"/>
    <row r="1943" ht="14.4" customHeight="1" s="88"/>
    <row r="1944" ht="14.4" customHeight="1" s="88"/>
    <row r="1945" ht="14.4" customHeight="1" s="88"/>
    <row r="1946" ht="14.4" customHeight="1" s="88"/>
    <row r="1947" ht="14.4" customHeight="1" s="88"/>
    <row r="1948" ht="14.4" customHeight="1" s="88"/>
    <row r="1949" ht="14.4" customHeight="1" s="88"/>
    <row r="1950" ht="14.4" customHeight="1" s="88"/>
    <row r="1951" ht="14.4" customHeight="1" s="88"/>
    <row r="1952" ht="14.4" customHeight="1" s="88"/>
    <row r="1953" ht="14.4" customHeight="1" s="88"/>
    <row r="1954" ht="14.4" customHeight="1" s="88"/>
    <row r="1955" ht="14.4" customHeight="1" s="88"/>
    <row r="1956" ht="14.4" customHeight="1" s="88"/>
    <row r="1957" ht="14.4" customHeight="1" s="88"/>
    <row r="1958" ht="14.4" customHeight="1" s="88"/>
    <row r="1959" ht="14.4" customHeight="1" s="88"/>
    <row r="1960" ht="14.4" customHeight="1" s="88"/>
    <row r="1961" ht="14.4" customHeight="1" s="88"/>
    <row r="1962" ht="14.4" customHeight="1" s="88"/>
    <row r="1963" ht="14.4" customHeight="1" s="88"/>
    <row r="1964" ht="14.4" customHeight="1" s="88"/>
    <row r="1965" ht="14.4" customHeight="1" s="88"/>
    <row r="1966" ht="14.4" customHeight="1" s="88"/>
    <row r="1967" ht="14.4" customHeight="1" s="88"/>
    <row r="1968" ht="14.4" customHeight="1" s="88"/>
    <row r="1969" ht="14.4" customHeight="1" s="88"/>
    <row r="1970" ht="14.4" customHeight="1" s="88"/>
    <row r="1971" ht="14.4" customHeight="1" s="88"/>
    <row r="1972" ht="14.4" customHeight="1" s="88"/>
    <row r="1973" ht="14.4" customHeight="1" s="88"/>
    <row r="1974" ht="14.4" customHeight="1" s="88"/>
    <row r="1975" ht="14.4" customHeight="1" s="88"/>
    <row r="1976" ht="14.4" customHeight="1" s="88"/>
    <row r="1977" ht="14.4" customHeight="1" s="88"/>
    <row r="1978" ht="14.4" customHeight="1" s="88"/>
    <row r="1979" ht="14.4" customHeight="1" s="88"/>
    <row r="1980" ht="14.4" customHeight="1" s="88"/>
    <row r="1981" ht="14.4" customHeight="1" s="88"/>
    <row r="1982" ht="14.4" customHeight="1" s="88"/>
    <row r="1983" ht="14.4" customHeight="1" s="88"/>
    <row r="1984" ht="14.4" customHeight="1" s="88"/>
    <row r="1985" ht="14.4" customHeight="1" s="88"/>
    <row r="1986" ht="14.4" customHeight="1" s="88"/>
    <row r="1987" ht="14.4" customHeight="1" s="88"/>
    <row r="1988" ht="14.4" customHeight="1" s="88"/>
    <row r="1989" ht="14.4" customHeight="1" s="88"/>
    <row r="1990" ht="14.4" customHeight="1" s="88"/>
    <row r="1991" ht="14.4" customHeight="1" s="88"/>
    <row r="1992" ht="14.4" customHeight="1" s="88"/>
    <row r="1993" ht="14.4" customHeight="1" s="88"/>
    <row r="1994" ht="14.4" customHeight="1" s="88"/>
    <row r="1995" ht="14.4" customHeight="1" s="88"/>
    <row r="1996" ht="14.4" customHeight="1" s="88"/>
    <row r="1997" ht="14.4" customHeight="1" s="88"/>
    <row r="1998" ht="14.4" customHeight="1" s="88"/>
    <row r="1999" ht="14.4" customHeight="1" s="88"/>
    <row r="2000" ht="14.4" customHeight="1" s="88"/>
    <row r="2001" ht="14.4" customHeight="1" s="88"/>
    <row r="2002" ht="14.4" customHeight="1" s="88"/>
    <row r="2003" ht="14.4" customHeight="1" s="88"/>
    <row r="2004" ht="14.4" customHeight="1" s="88"/>
    <row r="2005" ht="14.4" customHeight="1" s="88"/>
    <row r="2006" ht="14.4" customHeight="1" s="88"/>
    <row r="2007" ht="14.4" customHeight="1" s="88"/>
    <row r="2008" ht="14.4" customHeight="1" s="88"/>
    <row r="2009" ht="14.4" customHeight="1" s="88"/>
    <row r="2010" ht="14.4" customHeight="1" s="88"/>
    <row r="2011" ht="14.4" customHeight="1" s="88"/>
    <row r="2012" ht="14.4" customHeight="1" s="88"/>
    <row r="2013" ht="14.4" customHeight="1" s="88"/>
    <row r="2014" ht="14.4" customHeight="1" s="88"/>
    <row r="2015" ht="14.4" customHeight="1" s="88"/>
    <row r="2016" ht="14.4" customHeight="1" s="88"/>
    <row r="2017" ht="14.4" customHeight="1" s="88"/>
    <row r="2018" ht="14.4" customHeight="1" s="88"/>
    <row r="2019" ht="14.4" customHeight="1" s="88"/>
    <row r="2020" ht="14.4" customHeight="1" s="88"/>
    <row r="2021" ht="14.4" customHeight="1" s="88"/>
    <row r="2022" ht="14.4" customHeight="1" s="88"/>
    <row r="2023" ht="14.4" customHeight="1" s="88"/>
    <row r="2024" ht="14.4" customHeight="1" s="88"/>
    <row r="2025" ht="14.4" customHeight="1" s="88"/>
    <row r="2026" ht="14.4" customHeight="1" s="88"/>
    <row r="2027" ht="14.4" customHeight="1" s="88"/>
    <row r="2028" ht="14.4" customHeight="1" s="88"/>
    <row r="2029" ht="14.4" customHeight="1" s="88"/>
    <row r="2030" ht="14.4" customHeight="1" s="88"/>
    <row r="2031" ht="14.4" customHeight="1" s="88"/>
    <row r="2032" ht="14.4" customHeight="1" s="88"/>
    <row r="2033" ht="14.4" customHeight="1" s="88"/>
    <row r="2034" ht="14.4" customHeight="1" s="88"/>
    <row r="2035" ht="14.4" customHeight="1" s="88"/>
    <row r="2036" ht="14.4" customHeight="1" s="88"/>
    <row r="2037" ht="14.4" customHeight="1" s="88"/>
    <row r="2038" ht="14.4" customHeight="1" s="88"/>
    <row r="2039" ht="14.4" customHeight="1" s="88"/>
    <row r="2040" ht="14.4" customHeight="1" s="88"/>
    <row r="2041" ht="14.4" customHeight="1" s="88"/>
    <row r="2042" ht="14.4" customHeight="1" s="88"/>
    <row r="2043" ht="14.4" customHeight="1" s="88"/>
    <row r="2044" ht="14.4" customHeight="1" s="88"/>
    <row r="2045" ht="14.4" customHeight="1" s="88"/>
    <row r="2046" ht="14.4" customHeight="1" s="88"/>
    <row r="2047" ht="14.4" customHeight="1" s="88"/>
    <row r="2048" ht="14.4" customHeight="1" s="88"/>
    <row r="2049" ht="14.4" customHeight="1" s="88"/>
    <row r="2050" ht="14.4" customHeight="1" s="88"/>
    <row r="2051" ht="14.4" customHeight="1" s="88"/>
    <row r="2052" ht="14.4" customHeight="1" s="88"/>
    <row r="2053" ht="14.4" customHeight="1" s="88"/>
    <row r="2054" ht="14.4" customHeight="1" s="88"/>
    <row r="2055" ht="14.4" customHeight="1" s="88"/>
    <row r="2056" ht="14.4" customHeight="1" s="88"/>
    <row r="2057" ht="14.4" customHeight="1" s="88"/>
    <row r="2058" ht="14.4" customHeight="1" s="88"/>
    <row r="2059" ht="14.4" customHeight="1" s="88"/>
    <row r="2060" ht="14.4" customHeight="1" s="88"/>
    <row r="2061" ht="14.4" customHeight="1" s="88"/>
    <row r="2062" ht="14.4" customHeight="1" s="88"/>
    <row r="2063" ht="14.4" customHeight="1" s="88"/>
    <row r="2064" ht="14.4" customHeight="1" s="88"/>
    <row r="2065" ht="14.4" customHeight="1" s="88"/>
    <row r="2066" ht="14.4" customHeight="1" s="88"/>
    <row r="2067" ht="14.4" customHeight="1" s="88"/>
    <row r="2068" ht="14.4" customHeight="1" s="88"/>
    <row r="2069" ht="14.4" customHeight="1" s="88"/>
    <row r="2070" ht="14.4" customHeight="1" s="88"/>
    <row r="2071" ht="14.4" customHeight="1" s="88"/>
    <row r="2072" ht="14.4" customHeight="1" s="88"/>
    <row r="2073" ht="14.4" customHeight="1" s="88"/>
    <row r="2074" ht="14.4" customHeight="1" s="88"/>
    <row r="2075" ht="14.4" customHeight="1" s="88"/>
    <row r="2076" ht="14.4" customHeight="1" s="88"/>
    <row r="2077" ht="14.4" customHeight="1" s="88"/>
    <row r="2078" ht="14.4" customHeight="1" s="88"/>
    <row r="2079" ht="14.4" customHeight="1" s="88"/>
    <row r="2080" ht="14.4" customHeight="1" s="88"/>
    <row r="2081" ht="14.4" customHeight="1" s="88"/>
    <row r="2082" ht="14.4" customHeight="1" s="88"/>
    <row r="2083" ht="14.4" customHeight="1" s="88"/>
    <row r="2084" ht="14.4" customHeight="1" s="88"/>
    <row r="2085" ht="14.4" customHeight="1" s="88"/>
    <row r="2086" ht="14.4" customHeight="1" s="88"/>
    <row r="2087" ht="14.4" customHeight="1" s="88"/>
    <row r="2088" ht="14.4" customHeight="1" s="88"/>
    <row r="2089" ht="14.4" customHeight="1" s="88"/>
    <row r="2090" ht="14.4" customHeight="1" s="88"/>
    <row r="2091" ht="14.4" customHeight="1" s="88"/>
    <row r="2092" ht="14.4" customHeight="1" s="88"/>
    <row r="2093" ht="14.4" customHeight="1" s="88"/>
    <row r="2094" ht="14.4" customHeight="1" s="88"/>
    <row r="2095" ht="14.4" customHeight="1" s="88"/>
    <row r="2096" ht="14.4" customHeight="1" s="88"/>
    <row r="2097" ht="14.4" customHeight="1" s="88"/>
    <row r="2098" ht="14.4" customHeight="1" s="88"/>
    <row r="2099" ht="14.4" customHeight="1" s="88"/>
    <row r="2100" ht="14.4" customHeight="1" s="88"/>
    <row r="2101" ht="14.4" customHeight="1" s="88"/>
    <row r="2102" ht="14.4" customHeight="1" s="88"/>
    <row r="2103" ht="14.4" customHeight="1" s="88"/>
    <row r="2104" ht="14.4" customHeight="1" s="88"/>
    <row r="2105" ht="14.4" customHeight="1" s="88"/>
    <row r="2106" ht="14.4" customHeight="1" s="88"/>
    <row r="2107" ht="14.4" customHeight="1" s="88"/>
    <row r="2108" ht="14.4" customHeight="1" s="88"/>
    <row r="2109" ht="14.4" customHeight="1" s="88"/>
    <row r="2110" ht="14.4" customHeight="1" s="88"/>
    <row r="2111" ht="14.4" customHeight="1" s="88"/>
    <row r="2112" ht="14.4" customHeight="1" s="88"/>
    <row r="2113" ht="14.4" customHeight="1" s="88"/>
    <row r="2114" ht="14.4" customHeight="1" s="88"/>
    <row r="2115" ht="14.4" customHeight="1" s="88"/>
    <row r="2116" ht="14.4" customHeight="1" s="88"/>
    <row r="2117" ht="14.4" customHeight="1" s="88"/>
    <row r="2118" ht="14.4" customHeight="1" s="88"/>
    <row r="2119" ht="14.4" customHeight="1" s="88"/>
    <row r="2120" ht="14.4" customHeight="1" s="88"/>
    <row r="2121" ht="14.4" customHeight="1" s="88"/>
    <row r="2122" ht="14.4" customHeight="1" s="88"/>
    <row r="2123" ht="14.4" customHeight="1" s="88"/>
    <row r="2124" ht="14.4" customHeight="1" s="88"/>
    <row r="2125" ht="14.4" customHeight="1" s="88"/>
    <row r="2126" ht="14.4" customHeight="1" s="88"/>
    <row r="2127" ht="14.4" customHeight="1" s="88"/>
    <row r="2128" ht="14.4" customHeight="1" s="88"/>
    <row r="2129" ht="14.4" customHeight="1" s="88"/>
    <row r="2130" ht="14.4" customHeight="1" s="88"/>
    <row r="2131" ht="14.4" customHeight="1" s="88"/>
    <row r="2132" ht="14.4" customHeight="1" s="88"/>
    <row r="2133" ht="14.4" customHeight="1" s="88"/>
    <row r="2134" ht="14.4" customHeight="1" s="88"/>
    <row r="2135" ht="14.4" customHeight="1" s="88"/>
    <row r="2136" ht="14.4" customHeight="1" s="88"/>
    <row r="2137" ht="14.4" customHeight="1" s="88"/>
    <row r="2138" ht="14.4" customHeight="1" s="88"/>
    <row r="2139" ht="14.4" customHeight="1" s="88"/>
    <row r="2140" ht="14.4" customHeight="1" s="88"/>
    <row r="2141" ht="14.4" customHeight="1" s="88"/>
    <row r="2142" ht="14.4" customHeight="1" s="88"/>
    <row r="2143" ht="14.4" customHeight="1" s="88"/>
    <row r="2144" ht="14.4" customHeight="1" s="88"/>
    <row r="2145" ht="14.4" customHeight="1" s="88"/>
    <row r="2146" ht="14.4" customHeight="1" s="88"/>
    <row r="2147" ht="14.4" customHeight="1" s="88"/>
    <row r="2148" ht="14.4" customHeight="1" s="88"/>
    <row r="2149" ht="14.4" customHeight="1" s="88"/>
    <row r="2150" ht="14.4" customHeight="1" s="88"/>
    <row r="2151" ht="14.4" customHeight="1" s="88"/>
    <row r="2152" ht="14.4" customHeight="1" s="88"/>
    <row r="2153" ht="14.4" customHeight="1" s="88"/>
    <row r="2154" ht="14.4" customHeight="1" s="88"/>
    <row r="2155" ht="14.4" customHeight="1" s="88"/>
    <row r="2156" ht="14.4" customHeight="1" s="88"/>
    <row r="2157" ht="14.4" customHeight="1" s="88"/>
    <row r="2158" ht="14.4" customHeight="1" s="88"/>
    <row r="2159" ht="14.4" customHeight="1" s="88"/>
    <row r="2160" ht="14.4" customHeight="1" s="88"/>
    <row r="2161" ht="14.4" customHeight="1" s="88"/>
    <row r="2162" ht="14.4" customHeight="1" s="88"/>
    <row r="2163" ht="14.4" customHeight="1" s="88"/>
    <row r="2164" ht="14.4" customHeight="1" s="88"/>
    <row r="2165" ht="14.4" customHeight="1" s="88"/>
    <row r="2166" ht="14.4" customHeight="1" s="88"/>
    <row r="2167" ht="14.4" customHeight="1" s="88"/>
    <row r="2168" ht="14.4" customHeight="1" s="88"/>
    <row r="2169" ht="14.4" customHeight="1" s="88"/>
    <row r="2170" ht="14.4" customHeight="1" s="88"/>
    <row r="2171" ht="14.4" customHeight="1" s="88"/>
    <row r="2172" ht="14.4" customHeight="1" s="88"/>
    <row r="2173" ht="14.4" customHeight="1" s="88"/>
    <row r="2174" ht="14.4" customHeight="1" s="88"/>
    <row r="2175" ht="14.4" customHeight="1" s="88"/>
    <row r="2176" ht="14.4" customHeight="1" s="88"/>
    <row r="2177" ht="14.4" customHeight="1" s="88"/>
    <row r="2178" ht="14.4" customHeight="1" s="88"/>
    <row r="2179" ht="14.4" customHeight="1" s="88"/>
    <row r="2180" ht="14.4" customHeight="1" s="88"/>
    <row r="2181" ht="14.4" customHeight="1" s="88"/>
    <row r="2182" ht="14.4" customHeight="1" s="88"/>
    <row r="2183" ht="14.4" customHeight="1" s="88"/>
    <row r="2184" ht="14.4" customHeight="1" s="88"/>
    <row r="2185" ht="14.4" customHeight="1" s="88"/>
    <row r="2186" ht="14.4" customHeight="1" s="88"/>
    <row r="2187" ht="14.4" customHeight="1" s="88"/>
    <row r="2188" ht="14.4" customHeight="1" s="88"/>
    <row r="2189" ht="14.4" customHeight="1" s="88"/>
    <row r="2190" ht="14.4" customHeight="1" s="88"/>
    <row r="2191" ht="14.4" customHeight="1" s="88"/>
    <row r="2192" ht="14.4" customHeight="1" s="88"/>
    <row r="2193" ht="14.4" customHeight="1" s="88"/>
    <row r="2194" ht="14.4" customHeight="1" s="88"/>
    <row r="2195" ht="14.4" customHeight="1" s="88"/>
    <row r="2196" ht="14.4" customHeight="1" s="88"/>
    <row r="2197" ht="14.4" customHeight="1" s="88"/>
    <row r="2198" ht="14.4" customHeight="1" s="88"/>
    <row r="2199" ht="14.4" customHeight="1" s="88"/>
    <row r="2200" ht="14.4" customHeight="1" s="88"/>
    <row r="2201" ht="14.4" customHeight="1" s="88"/>
    <row r="2202" ht="14.4" customHeight="1" s="88"/>
    <row r="2203" ht="14.4" customHeight="1" s="88"/>
    <row r="2204" ht="14.4" customHeight="1" s="88"/>
    <row r="2205" ht="14.4" customHeight="1" s="88"/>
    <row r="2206" ht="14.4" customHeight="1" s="88"/>
    <row r="2207" ht="14.4" customHeight="1" s="88"/>
    <row r="2208" ht="14.4" customHeight="1" s="88"/>
    <row r="2209" ht="14.4" customHeight="1" s="88"/>
    <row r="2210" ht="14.4" customHeight="1" s="88"/>
    <row r="2211" ht="14.4" customHeight="1" s="88"/>
    <row r="2212" ht="14.4" customHeight="1" s="88"/>
    <row r="2213" ht="14.4" customHeight="1" s="88"/>
    <row r="2214" ht="14.4" customHeight="1" s="88"/>
    <row r="2215" ht="14.4" customHeight="1" s="88"/>
    <row r="2216" ht="14.4" customHeight="1" s="88"/>
    <row r="2217" ht="14.4" customHeight="1" s="88"/>
    <row r="2218" ht="14.4" customHeight="1" s="88"/>
    <row r="2219" ht="14.4" customHeight="1" s="88"/>
    <row r="2220" ht="14.4" customHeight="1" s="88"/>
    <row r="2221" ht="14.4" customHeight="1" s="88"/>
    <row r="2222" ht="14.4" customHeight="1" s="88"/>
    <row r="2223" ht="14.4" customHeight="1" s="88"/>
    <row r="2224" ht="14.4" customHeight="1" s="88"/>
    <row r="2225" ht="14.4" customHeight="1" s="88"/>
    <row r="2226" ht="14.4" customHeight="1" s="88"/>
    <row r="2227" ht="14.4" customHeight="1" s="88"/>
    <row r="2228" ht="14.4" customHeight="1" s="88"/>
    <row r="2229" ht="14.4" customHeight="1" s="88"/>
    <row r="2230" ht="14.4" customHeight="1" s="88"/>
    <row r="2231" ht="14.4" customHeight="1" s="88"/>
    <row r="2232" ht="14.4" customHeight="1" s="88"/>
    <row r="2233" ht="14.4" customHeight="1" s="88"/>
    <row r="2234" ht="14.4" customHeight="1" s="88"/>
    <row r="2235" ht="14.4" customHeight="1" s="88"/>
    <row r="2236" ht="14.4" customHeight="1" s="88"/>
    <row r="2237" ht="14.4" customHeight="1" s="88"/>
    <row r="2238" ht="14.4" customHeight="1" s="88"/>
    <row r="2239" ht="14.4" customHeight="1" s="88"/>
    <row r="2240" ht="14.4" customHeight="1" s="88"/>
    <row r="2241" ht="14.4" customHeight="1" s="88"/>
    <row r="2242" ht="14.4" customHeight="1" s="88"/>
    <row r="2243" ht="14.4" customHeight="1" s="88"/>
    <row r="2244" ht="14.4" customHeight="1" s="88"/>
    <row r="2245" ht="14.4" customHeight="1" s="88"/>
    <row r="2246" ht="14.4" customHeight="1" s="88"/>
    <row r="2247" ht="14.4" customHeight="1" s="88"/>
    <row r="2248" ht="14.4" customHeight="1" s="88"/>
    <row r="2249" ht="14.4" customHeight="1" s="88"/>
    <row r="2250" ht="14.4" customHeight="1" s="88"/>
    <row r="2251" ht="14.4" customHeight="1" s="88"/>
    <row r="2252" ht="14.4" customHeight="1" s="88"/>
    <row r="2253" ht="14.4" customHeight="1" s="88"/>
    <row r="2254" ht="14.4" customHeight="1" s="88"/>
    <row r="2255" ht="14.4" customHeight="1" s="88"/>
    <row r="2256" ht="14.4" customHeight="1" s="88"/>
    <row r="2257" ht="14.4" customHeight="1" s="88"/>
    <row r="2258" ht="14.4" customHeight="1" s="88"/>
    <row r="2259" ht="14.4" customHeight="1" s="88"/>
    <row r="2260" ht="14.4" customHeight="1" s="88"/>
    <row r="2261" ht="14.4" customHeight="1" s="88"/>
    <row r="2262" ht="14.4" customHeight="1" s="88"/>
    <row r="2263" ht="14.4" customHeight="1" s="88"/>
    <row r="2264" ht="14.4" customHeight="1" s="88"/>
    <row r="2265" ht="14.4" customHeight="1" s="88"/>
    <row r="2266" ht="14.4" customHeight="1" s="88"/>
    <row r="2267" ht="14.4" customHeight="1" s="88"/>
    <row r="2268" ht="14.4" customHeight="1" s="88"/>
    <row r="2269" ht="14.4" customHeight="1" s="88"/>
    <row r="2270" ht="14.4" customHeight="1" s="88"/>
    <row r="2271" ht="14.4" customHeight="1" s="88"/>
    <row r="2272" ht="14.4" customHeight="1" s="88"/>
    <row r="2273" ht="14.4" customHeight="1" s="88"/>
    <row r="2274" ht="14.4" customHeight="1" s="88"/>
    <row r="2275" ht="14.4" customHeight="1" s="88"/>
    <row r="2276" ht="14.4" customHeight="1" s="88"/>
    <row r="2277" ht="14.4" customHeight="1" s="88"/>
    <row r="2278" ht="14.4" customHeight="1" s="88"/>
    <row r="2279" ht="14.4" customHeight="1" s="88"/>
    <row r="2280" ht="14.4" customHeight="1" s="88"/>
    <row r="2281" ht="14.4" customHeight="1" s="88"/>
    <row r="2282" ht="14.4" customHeight="1" s="88"/>
    <row r="2283" ht="14.4" customHeight="1" s="88"/>
    <row r="2284" ht="14.4" customHeight="1" s="88"/>
    <row r="2285" ht="14.4" customHeight="1" s="88"/>
    <row r="2286" ht="14.4" customHeight="1" s="88"/>
    <row r="2287" ht="14.4" customHeight="1" s="88"/>
    <row r="2288" ht="14.4" customHeight="1" s="88"/>
    <row r="2289" ht="14.4" customHeight="1" s="88"/>
    <row r="2290" ht="14.4" customHeight="1" s="88"/>
    <row r="2291" ht="14.4" customHeight="1" s="88"/>
    <row r="2292" ht="14.4" customHeight="1" s="88"/>
    <row r="2293" ht="14.4" customHeight="1" s="88"/>
    <row r="2294" ht="14.4" customHeight="1" s="88"/>
    <row r="2295" ht="14.4" customHeight="1" s="88"/>
    <row r="2296" ht="14.4" customHeight="1" s="88"/>
    <row r="2297" ht="14.4" customHeight="1" s="88"/>
    <row r="2298" ht="14.4" customHeight="1" s="88"/>
    <row r="2299" ht="14.4" customHeight="1" s="88"/>
    <row r="2300" ht="14.4" customHeight="1" s="88"/>
    <row r="2301" ht="14.4" customHeight="1" s="88"/>
    <row r="2302" ht="14.4" customHeight="1" s="88"/>
    <row r="2303" ht="14.4" customHeight="1" s="88"/>
    <row r="2304" ht="14.4" customHeight="1" s="88"/>
    <row r="2305" ht="14.4" customHeight="1" s="88"/>
    <row r="2306" ht="14.4" customHeight="1" s="88"/>
    <row r="2307" ht="14.4" customHeight="1" s="88"/>
    <row r="2308" ht="14.4" customHeight="1" s="88"/>
    <row r="2309" ht="14.4" customHeight="1" s="88"/>
    <row r="2310" ht="14.4" customHeight="1" s="88"/>
    <row r="2311" ht="14.4" customHeight="1" s="88"/>
    <row r="2312" ht="14.4" customHeight="1" s="88"/>
    <row r="2313" ht="14.4" customHeight="1" s="88"/>
    <row r="2314" ht="14.4" customHeight="1" s="88"/>
    <row r="2315" ht="14.4" customHeight="1" s="88"/>
    <row r="2316" ht="14.4" customHeight="1" s="88"/>
    <row r="2317" ht="14.4" customHeight="1" s="88"/>
    <row r="2318" ht="14.4" customHeight="1" s="88"/>
    <row r="2319" ht="14.4" customHeight="1" s="88"/>
    <row r="2320" ht="14.4" customHeight="1" s="88"/>
    <row r="2321" ht="14.4" customHeight="1" s="88"/>
    <row r="2322" ht="14.4" customHeight="1" s="88"/>
    <row r="2323" ht="14.4" customHeight="1" s="88"/>
    <row r="2324" ht="14.4" customHeight="1" s="88"/>
    <row r="2325" ht="14.4" customHeight="1" s="88"/>
    <row r="2326" ht="14.4" customHeight="1" s="88"/>
    <row r="2327" ht="14.4" customHeight="1" s="88"/>
    <row r="2328" ht="14.4" customHeight="1" s="88"/>
    <row r="2329" ht="14.4" customHeight="1" s="88"/>
    <row r="2330" ht="14.4" customHeight="1" s="88"/>
    <row r="2331" ht="14.4" customHeight="1" s="88"/>
    <row r="2332" ht="14.4" customHeight="1" s="88"/>
    <row r="2333" ht="14.4" customHeight="1" s="88"/>
    <row r="2334" ht="14.4" customHeight="1" s="88"/>
    <row r="2335" ht="14.4" customHeight="1" s="88"/>
    <row r="2336" ht="14.4" customHeight="1" s="88"/>
    <row r="2337" ht="14.4" customHeight="1" s="88"/>
    <row r="2338" ht="14.4" customHeight="1" s="88"/>
    <row r="2339" ht="14.4" customHeight="1" s="88"/>
    <row r="2340" ht="14.4" customHeight="1" s="88"/>
    <row r="2341" ht="14.4" customHeight="1" s="88"/>
    <row r="2342" ht="14.4" customHeight="1" s="88"/>
    <row r="2343" ht="14.4" customHeight="1" s="88"/>
    <row r="2344" ht="14.4" customHeight="1" s="88"/>
    <row r="2345" ht="14.4" customHeight="1" s="88"/>
    <row r="2346" ht="14.4" customHeight="1" s="88"/>
    <row r="2347" ht="14.4" customHeight="1" s="88"/>
    <row r="2348" ht="14.4" customHeight="1" s="88"/>
    <row r="2349" ht="14.4" customHeight="1" s="88"/>
    <row r="2350" ht="14.4" customHeight="1" s="88"/>
    <row r="2351" ht="14.4" customHeight="1" s="88"/>
    <row r="2352" ht="14.4" customHeight="1" s="88"/>
    <row r="2353" ht="14.4" customHeight="1" s="88"/>
    <row r="2354" ht="14.4" customHeight="1" s="88"/>
    <row r="2355" ht="14.4" customHeight="1" s="88"/>
    <row r="2356" ht="14.4" customHeight="1" s="88"/>
    <row r="2357" ht="14.4" customHeight="1" s="88"/>
    <row r="2358" ht="14.4" customHeight="1" s="88"/>
    <row r="2359" ht="14.4" customHeight="1" s="88"/>
    <row r="2360" ht="14.4" customHeight="1" s="88"/>
    <row r="2361" ht="14.4" customHeight="1" s="88"/>
    <row r="2362" ht="14.4" customHeight="1" s="88"/>
    <row r="2363" ht="14.4" customHeight="1" s="88"/>
    <row r="2364" ht="14.4" customHeight="1" s="88"/>
    <row r="2365" ht="14.4" customHeight="1" s="88"/>
    <row r="2366" ht="14.4" customHeight="1" s="88"/>
    <row r="2367" ht="14.4" customHeight="1" s="88"/>
    <row r="2368" ht="14.4" customHeight="1" s="88"/>
    <row r="2369" ht="14.4" customHeight="1" s="88"/>
    <row r="2370" ht="14.4" customHeight="1" s="88"/>
    <row r="2371" ht="14.4" customHeight="1" s="88"/>
    <row r="2372" ht="14.4" customHeight="1" s="88"/>
    <row r="2373" ht="14.4" customHeight="1" s="88"/>
    <row r="2374" ht="14.4" customHeight="1" s="88"/>
    <row r="2375" ht="14.4" customHeight="1" s="88"/>
    <row r="2376" ht="14.4" customHeight="1" s="88"/>
    <row r="2377" ht="14.4" customHeight="1" s="88"/>
    <row r="2378" ht="14.4" customHeight="1" s="88"/>
    <row r="2379" ht="14.4" customHeight="1" s="88"/>
    <row r="2380" ht="14.4" customHeight="1" s="88"/>
    <row r="2381" ht="14.4" customHeight="1" s="88"/>
    <row r="2382" ht="14.4" customHeight="1" s="88"/>
    <row r="2383" ht="14.4" customHeight="1" s="88"/>
    <row r="2384" ht="14.4" customHeight="1" s="88"/>
    <row r="2385" ht="14.4" customHeight="1" s="88"/>
    <row r="2386" ht="14.4" customHeight="1" s="88"/>
    <row r="2387" ht="14.4" customHeight="1" s="88"/>
    <row r="2388" ht="14.4" customHeight="1" s="88"/>
    <row r="2389" ht="14.4" customHeight="1" s="88"/>
    <row r="2390" ht="14.4" customHeight="1" s="88"/>
    <row r="2391" ht="14.4" customHeight="1" s="88"/>
    <row r="2392" ht="14.4" customHeight="1" s="88"/>
    <row r="2393" ht="14.4" customHeight="1" s="88"/>
    <row r="2394" ht="14.4" customHeight="1" s="88"/>
    <row r="2395" ht="14.4" customHeight="1" s="88"/>
    <row r="2396" ht="14.4" customHeight="1" s="88"/>
    <row r="2397" ht="14.4" customHeight="1" s="88"/>
    <row r="2398" ht="14.4" customHeight="1" s="88"/>
    <row r="2399" ht="14.4" customHeight="1" s="88"/>
    <row r="2400" ht="14.4" customHeight="1" s="88"/>
    <row r="2401" ht="14.4" customHeight="1" s="88"/>
    <row r="2402" ht="14.4" customHeight="1" s="88"/>
    <row r="2403" ht="14.4" customHeight="1" s="88"/>
    <row r="2404" ht="14.4" customHeight="1" s="88"/>
    <row r="2405" ht="14.4" customHeight="1" s="88"/>
    <row r="2406" ht="14.4" customHeight="1" s="88"/>
    <row r="2407" ht="14.4" customHeight="1" s="88"/>
    <row r="2408" ht="14.4" customHeight="1" s="88"/>
    <row r="2409" ht="14.4" customHeight="1" s="88"/>
    <row r="2410" ht="14.4" customHeight="1" s="88"/>
    <row r="2411" ht="14.4" customHeight="1" s="88"/>
    <row r="2412" ht="14.4" customHeight="1" s="88"/>
    <row r="2413" ht="14.4" customHeight="1" s="88"/>
    <row r="2414" ht="14.4" customHeight="1" s="88"/>
    <row r="2415" ht="14.4" customHeight="1" s="88"/>
    <row r="2416" ht="14.4" customHeight="1" s="88"/>
    <row r="2417" ht="14.4" customHeight="1" s="88"/>
    <row r="2418" ht="14.4" customHeight="1" s="88"/>
    <row r="2419" ht="14.4" customHeight="1" s="88"/>
    <row r="2420" ht="14.4" customHeight="1" s="88"/>
    <row r="2421" ht="14.4" customHeight="1" s="88"/>
    <row r="2422" ht="14.4" customHeight="1" s="88"/>
    <row r="2423" ht="14.4" customHeight="1" s="88"/>
    <row r="2424" ht="14.4" customHeight="1" s="88"/>
    <row r="2425" ht="14.4" customHeight="1" s="88"/>
    <row r="2426" ht="14.4" customHeight="1" s="88"/>
    <row r="2427" ht="14.4" customHeight="1" s="88"/>
    <row r="2428" ht="14.4" customHeight="1" s="88"/>
    <row r="2429" ht="14.4" customHeight="1" s="88"/>
    <row r="2430" ht="14.4" customHeight="1" s="88"/>
    <row r="2431" ht="14.4" customHeight="1" s="88"/>
    <row r="2432" ht="14.4" customHeight="1" s="88"/>
    <row r="2433" ht="14.4" customHeight="1" s="88"/>
    <row r="2434" ht="14.4" customHeight="1" s="88"/>
    <row r="2435" ht="14.4" customHeight="1" s="88"/>
    <row r="2436" ht="14.4" customHeight="1" s="88"/>
    <row r="2437" ht="14.4" customHeight="1" s="88"/>
    <row r="2438" ht="14.4" customHeight="1" s="88"/>
    <row r="2439" ht="14.4" customHeight="1" s="88"/>
    <row r="2440" ht="14.4" customHeight="1" s="88"/>
    <row r="2441" ht="14.4" customHeight="1" s="88"/>
    <row r="2442" ht="14.4" customHeight="1" s="88"/>
    <row r="2443" ht="14.4" customHeight="1" s="88"/>
    <row r="2444" ht="14.4" customHeight="1" s="88"/>
    <row r="2445" ht="14.4" customHeight="1" s="88"/>
    <row r="2446" ht="14.4" customHeight="1" s="88"/>
    <row r="2447" ht="14.4" customHeight="1" s="88"/>
    <row r="2448" ht="14.4" customHeight="1" s="88"/>
    <row r="2449" ht="14.4" customHeight="1" s="88"/>
    <row r="2450" ht="14.4" customHeight="1" s="88"/>
    <row r="2451" ht="14.4" customHeight="1" s="88"/>
    <row r="2452" ht="14.4" customHeight="1" s="88"/>
    <row r="2453" ht="14.4" customHeight="1" s="88"/>
    <row r="2454" ht="14.4" customHeight="1" s="88"/>
    <row r="2455" ht="14.4" customHeight="1" s="88"/>
    <row r="2456" ht="14.4" customHeight="1" s="88"/>
    <row r="2457" ht="14.4" customHeight="1" s="88"/>
    <row r="2458" ht="14.4" customHeight="1" s="88"/>
    <row r="2459" ht="14.4" customHeight="1" s="88"/>
    <row r="2460" ht="14.4" customHeight="1" s="88"/>
    <row r="2461" ht="14.4" customHeight="1" s="88"/>
    <row r="2462" ht="14.4" customHeight="1" s="88"/>
    <row r="2463" ht="14.4" customHeight="1" s="88"/>
    <row r="2464" ht="14.4" customHeight="1" s="88"/>
    <row r="2465" ht="14.4" customHeight="1" s="88"/>
    <row r="2466" ht="14.4" customHeight="1" s="88"/>
    <row r="2467" ht="14.4" customHeight="1" s="88"/>
    <row r="2468" ht="14.4" customHeight="1" s="88"/>
    <row r="2469" ht="14.4" customHeight="1" s="88"/>
    <row r="2470" ht="14.4" customHeight="1" s="88"/>
    <row r="2471" ht="14.4" customHeight="1" s="88"/>
    <row r="2472" ht="14.4" customHeight="1" s="88"/>
    <row r="2473" ht="14.4" customHeight="1" s="88"/>
    <row r="2474" ht="14.4" customHeight="1" s="88"/>
    <row r="2475" ht="14.4" customHeight="1" s="88"/>
    <row r="2476" ht="14.4" customHeight="1" s="88"/>
    <row r="2477" ht="14.4" customHeight="1" s="88"/>
    <row r="2478" ht="14.4" customHeight="1" s="88"/>
    <row r="2479" ht="14.4" customHeight="1" s="88"/>
    <row r="2480" ht="14.4" customHeight="1" s="88"/>
    <row r="2481" ht="14.4" customHeight="1" s="88"/>
    <row r="2482" ht="14.4" customHeight="1" s="88"/>
    <row r="2483" ht="14.4" customHeight="1" s="88"/>
    <row r="2484" ht="14.4" customHeight="1" s="88"/>
    <row r="2485" ht="14.4" customHeight="1" s="88"/>
    <row r="2486" ht="14.4" customHeight="1" s="88"/>
    <row r="2487" ht="14.4" customHeight="1" s="88"/>
    <row r="2488" ht="14.4" customHeight="1" s="88"/>
    <row r="2489" ht="14.4" customHeight="1" s="88"/>
    <row r="2490" ht="14.4" customHeight="1" s="88"/>
    <row r="2491" ht="14.4" customHeight="1" s="88"/>
    <row r="2492" ht="14.4" customHeight="1" s="88"/>
    <row r="2493" ht="14.4" customHeight="1" s="88"/>
    <row r="2494" ht="14.4" customHeight="1" s="88"/>
    <row r="2495" ht="14.4" customHeight="1" s="88"/>
    <row r="2496" ht="14.4" customHeight="1" s="88"/>
    <row r="2497" ht="14.4" customHeight="1" s="88"/>
    <row r="2498" ht="14.4" customHeight="1" s="88"/>
    <row r="2499" ht="14.4" customHeight="1" s="88"/>
    <row r="2500" ht="14.4" customHeight="1" s="88"/>
    <row r="2501" ht="14.4" customHeight="1" s="88"/>
    <row r="2502" ht="14.4" customHeight="1" s="88"/>
    <row r="2503" ht="14.4" customHeight="1" s="88"/>
    <row r="2504" ht="14.4" customHeight="1" s="88"/>
    <row r="2505" ht="14.4" customHeight="1" s="88"/>
    <row r="2506" ht="14.4" customHeight="1" s="88"/>
    <row r="2507" ht="14.4" customHeight="1" s="88"/>
    <row r="2508" ht="14.4" customHeight="1" s="88"/>
    <row r="2509" ht="14.4" customHeight="1" s="88"/>
    <row r="2510" ht="14.4" customHeight="1" s="88"/>
    <row r="2511" ht="14.4" customHeight="1" s="88"/>
    <row r="2512" ht="14.4" customHeight="1" s="88"/>
    <row r="2513" ht="14.4" customHeight="1" s="88"/>
    <row r="2514" ht="14.4" customHeight="1" s="88"/>
    <row r="2515" ht="14.4" customHeight="1" s="88"/>
    <row r="2516" ht="14.4" customHeight="1" s="88"/>
    <row r="2517" ht="14.4" customHeight="1" s="88"/>
    <row r="2518" ht="14.4" customHeight="1" s="88"/>
    <row r="2519" ht="14.4" customHeight="1" s="88"/>
    <row r="2520" ht="14.4" customHeight="1" s="88"/>
    <row r="2521" ht="14.4" customHeight="1" s="88"/>
    <row r="2522" ht="14.4" customHeight="1" s="88"/>
    <row r="2523" ht="14.4" customHeight="1" s="88"/>
    <row r="2524" ht="14.4" customHeight="1" s="88"/>
    <row r="2525" ht="14.4" customHeight="1" s="88"/>
    <row r="2526" ht="14.4" customHeight="1" s="88"/>
    <row r="2527" ht="14.4" customHeight="1" s="88"/>
    <row r="2528" ht="14.4" customHeight="1" s="88"/>
    <row r="2529" ht="14.4" customHeight="1" s="88"/>
    <row r="2530" ht="14.4" customHeight="1" s="88"/>
    <row r="2531" ht="14.4" customHeight="1" s="88"/>
    <row r="2532" ht="14.4" customHeight="1" s="88"/>
    <row r="2533" ht="14.4" customHeight="1" s="88"/>
    <row r="2534" ht="14.4" customHeight="1" s="88"/>
    <row r="2535" ht="14.4" customHeight="1" s="88"/>
    <row r="2536" ht="14.4" customHeight="1" s="88"/>
    <row r="2537" ht="14.4" customHeight="1" s="88"/>
    <row r="2538" ht="14.4" customHeight="1" s="88"/>
    <row r="2539" ht="14.4" customHeight="1" s="88"/>
    <row r="2540" ht="14.4" customHeight="1" s="88"/>
    <row r="2541" ht="14.4" customHeight="1" s="88"/>
    <row r="2542" ht="14.4" customHeight="1" s="88"/>
    <row r="2543" ht="14.4" customHeight="1" s="88"/>
    <row r="2544" ht="14.4" customHeight="1" s="88"/>
    <row r="2545" ht="14.4" customHeight="1" s="88"/>
    <row r="2546" ht="14.4" customHeight="1" s="88"/>
    <row r="2547" ht="14.4" customHeight="1" s="88"/>
    <row r="2548" ht="14.4" customHeight="1" s="88"/>
    <row r="2549" ht="14.4" customHeight="1" s="88"/>
    <row r="2550" ht="14.4" customHeight="1" s="88"/>
    <row r="2551" ht="14.4" customHeight="1" s="88"/>
    <row r="2552" ht="14.4" customHeight="1" s="88"/>
    <row r="2553" ht="14.4" customHeight="1" s="88"/>
    <row r="2554" ht="14.4" customHeight="1" s="88"/>
    <row r="2555" ht="14.4" customHeight="1" s="88"/>
    <row r="2556" ht="14.4" customHeight="1" s="88"/>
    <row r="2557" ht="14.4" customHeight="1" s="88"/>
    <row r="2558" ht="14.4" customHeight="1" s="88"/>
    <row r="2559" ht="14.4" customHeight="1" s="88"/>
    <row r="2560" ht="14.4" customHeight="1" s="88"/>
    <row r="2561" ht="14.4" customHeight="1" s="88"/>
    <row r="2562" ht="14.4" customHeight="1" s="88"/>
    <row r="2563" ht="14.4" customHeight="1" s="88"/>
    <row r="2564" ht="14.4" customHeight="1" s="88"/>
    <row r="2565" ht="14.4" customHeight="1" s="88"/>
    <row r="2566" ht="14.4" customHeight="1" s="88"/>
    <row r="2567" ht="14.4" customHeight="1" s="88"/>
    <row r="2568" ht="14.4" customHeight="1" s="88"/>
    <row r="2569" ht="14.4" customHeight="1" s="88"/>
    <row r="2570" ht="14.4" customHeight="1" s="88"/>
    <row r="2571" ht="14.4" customHeight="1" s="88"/>
    <row r="2572" ht="14.4" customHeight="1" s="88"/>
    <row r="2573" ht="14.4" customHeight="1" s="88"/>
    <row r="2574" ht="14.4" customHeight="1" s="88"/>
    <row r="2575" ht="14.4" customHeight="1" s="88"/>
    <row r="2576" ht="14.4" customHeight="1" s="88"/>
    <row r="2577" ht="14.4" customHeight="1" s="88"/>
    <row r="2578" ht="14.4" customHeight="1" s="88"/>
    <row r="2579" ht="14.4" customHeight="1" s="88"/>
    <row r="2580" ht="14.4" customHeight="1" s="88"/>
    <row r="2581" ht="14.4" customHeight="1" s="88"/>
    <row r="2582" ht="14.4" customHeight="1" s="88"/>
    <row r="2583" ht="14.4" customHeight="1" s="88"/>
    <row r="2584" ht="14.4" customHeight="1" s="88"/>
    <row r="2585" ht="14.4" customHeight="1" s="88"/>
    <row r="2586" ht="14.4" customHeight="1" s="88"/>
    <row r="2587" ht="14.4" customHeight="1" s="88"/>
    <row r="2588" ht="14.4" customHeight="1" s="88"/>
    <row r="2589" ht="14.4" customHeight="1" s="88"/>
    <row r="2590" ht="14.4" customHeight="1" s="88"/>
    <row r="2591" ht="14.4" customHeight="1" s="88"/>
    <row r="2592" ht="14.4" customHeight="1" s="88"/>
    <row r="2593" ht="14.4" customHeight="1" s="88"/>
    <row r="2594" ht="14.4" customHeight="1" s="88"/>
    <row r="2595" ht="14.4" customHeight="1" s="88"/>
    <row r="2596" ht="14.4" customHeight="1" s="88"/>
    <row r="2597" ht="14.4" customHeight="1" s="88"/>
    <row r="2598" ht="14.4" customHeight="1" s="88"/>
    <row r="2599" ht="14.4" customHeight="1" s="88"/>
    <row r="2600" ht="14.4" customHeight="1" s="88"/>
    <row r="2601" ht="14.4" customHeight="1" s="88"/>
    <row r="2602" ht="14.4" customHeight="1" s="88"/>
    <row r="2603" ht="14.4" customHeight="1" s="88"/>
    <row r="2604" ht="14.4" customHeight="1" s="88"/>
    <row r="2605" ht="14.4" customHeight="1" s="88"/>
    <row r="2606" ht="14.4" customHeight="1" s="88"/>
    <row r="2607" ht="14.4" customHeight="1" s="88"/>
    <row r="2608" ht="14.4" customHeight="1" s="88"/>
    <row r="2609" ht="14.4" customHeight="1" s="88"/>
    <row r="2610" ht="14.4" customHeight="1" s="88"/>
    <row r="2611" ht="14.4" customHeight="1" s="88"/>
    <row r="2612" ht="14.4" customHeight="1" s="88"/>
    <row r="2613" ht="14.4" customHeight="1" s="88"/>
    <row r="2614" ht="14.4" customHeight="1" s="88"/>
    <row r="2615" ht="14.4" customHeight="1" s="88"/>
    <row r="2616" ht="14.4" customHeight="1" s="88"/>
    <row r="2617" ht="14.4" customHeight="1" s="88"/>
    <row r="2618" ht="14.4" customHeight="1" s="88"/>
    <row r="2619" ht="14.4" customHeight="1" s="88"/>
    <row r="2620" ht="14.4" customHeight="1" s="88"/>
    <row r="2621" ht="14.4" customHeight="1" s="88"/>
    <row r="2622" ht="14.4" customHeight="1" s="88"/>
    <row r="2623" ht="14.4" customHeight="1" s="88"/>
    <row r="2624" ht="14.4" customHeight="1" s="88"/>
    <row r="2625" ht="14.4" customHeight="1" s="88"/>
    <row r="2626" ht="14.4" customHeight="1" s="88"/>
    <row r="2627" ht="14.4" customHeight="1" s="88"/>
    <row r="2628" ht="14.4" customHeight="1" s="88"/>
    <row r="2629" ht="14.4" customHeight="1" s="88"/>
    <row r="2630" ht="14.4" customHeight="1" s="88"/>
    <row r="2631" ht="14.4" customHeight="1" s="88"/>
    <row r="2632" ht="14.4" customHeight="1" s="88"/>
    <row r="2633" ht="14.4" customHeight="1" s="88"/>
    <row r="2634" ht="14.4" customHeight="1" s="88"/>
    <row r="2635" ht="14.4" customHeight="1" s="88"/>
    <row r="2636" ht="14.4" customHeight="1" s="88"/>
    <row r="2637" ht="14.4" customHeight="1" s="88"/>
    <row r="2638" ht="14.4" customHeight="1" s="88"/>
    <row r="2639" ht="14.4" customHeight="1" s="88"/>
    <row r="2640" ht="14.4" customHeight="1" s="88"/>
    <row r="2641" ht="14.4" customHeight="1" s="88"/>
    <row r="2642" ht="14.4" customHeight="1" s="88"/>
    <row r="2643" ht="14.4" customHeight="1" s="88"/>
    <row r="2644" ht="14.4" customHeight="1" s="88"/>
    <row r="2645" ht="14.4" customHeight="1" s="88"/>
    <row r="2646" ht="14.4" customHeight="1" s="88"/>
    <row r="2647" ht="14.4" customHeight="1" s="88"/>
    <row r="2648" ht="14.4" customHeight="1" s="88"/>
    <row r="2649" ht="14.4" customHeight="1" s="88"/>
    <row r="2650" ht="14.4" customHeight="1" s="88"/>
    <row r="2651" ht="14.4" customHeight="1" s="88"/>
    <row r="2652" ht="14.4" customHeight="1" s="88"/>
    <row r="2653" ht="14.4" customHeight="1" s="88"/>
    <row r="2654" ht="14.4" customHeight="1" s="88"/>
    <row r="2655" ht="14.4" customHeight="1" s="88"/>
    <row r="2656" ht="14.4" customHeight="1" s="88"/>
    <row r="2657" ht="14.4" customHeight="1" s="88"/>
    <row r="2658" ht="14.4" customHeight="1" s="88"/>
    <row r="2659" ht="14.4" customHeight="1" s="88"/>
    <row r="2660" ht="14.4" customHeight="1" s="88"/>
    <row r="2661" ht="14.4" customHeight="1" s="88"/>
    <row r="2662" ht="14.4" customHeight="1" s="88"/>
    <row r="2663" ht="14.4" customHeight="1" s="88"/>
    <row r="2664" ht="14.4" customHeight="1" s="88"/>
    <row r="2665" ht="14.4" customHeight="1" s="88"/>
    <row r="2666" ht="14.4" customHeight="1" s="88"/>
    <row r="2667" ht="14.4" customHeight="1" s="88"/>
    <row r="2668" ht="14.4" customHeight="1" s="88"/>
    <row r="2669" ht="14.4" customHeight="1" s="88"/>
    <row r="2670" ht="14.4" customHeight="1" s="88"/>
    <row r="2671" ht="14.4" customHeight="1" s="88"/>
    <row r="2672" ht="14.4" customHeight="1" s="88"/>
    <row r="2673" ht="14.4" customHeight="1" s="88"/>
    <row r="2674" ht="14.4" customHeight="1" s="88"/>
    <row r="2675" ht="14.4" customHeight="1" s="88"/>
    <row r="2676" ht="14.4" customHeight="1" s="88"/>
    <row r="2677" ht="14.4" customHeight="1" s="88"/>
    <row r="2678" ht="14.4" customHeight="1" s="88"/>
    <row r="2679" ht="14.4" customHeight="1" s="88"/>
    <row r="2680" ht="14.4" customHeight="1" s="88"/>
    <row r="2681" ht="14.4" customHeight="1" s="88"/>
    <row r="2682" ht="14.4" customHeight="1" s="88"/>
    <row r="2683" ht="14.4" customHeight="1" s="88"/>
    <row r="2684" ht="14.4" customHeight="1" s="88"/>
    <row r="2685" ht="14.4" customHeight="1" s="88"/>
    <row r="2686" ht="14.4" customHeight="1" s="88"/>
    <row r="2687" ht="14.4" customHeight="1" s="88"/>
    <row r="2688" ht="14.4" customHeight="1" s="88"/>
    <row r="2689" ht="14.4" customHeight="1" s="88"/>
    <row r="2690" ht="14.4" customHeight="1" s="88"/>
    <row r="2691" ht="14.4" customHeight="1" s="88"/>
    <row r="2692" ht="14.4" customHeight="1" s="88"/>
    <row r="2693" ht="14.4" customHeight="1" s="88"/>
    <row r="2694" ht="14.4" customHeight="1" s="88"/>
    <row r="2695" ht="14.4" customHeight="1" s="88"/>
    <row r="2696" ht="14.4" customHeight="1" s="88"/>
    <row r="2697" ht="14.4" customHeight="1" s="88"/>
    <row r="2698" ht="14.4" customHeight="1" s="88"/>
    <row r="2699" ht="14.4" customHeight="1" s="88"/>
    <row r="2700" ht="14.4" customHeight="1" s="88"/>
    <row r="2701" ht="14.4" customHeight="1" s="88"/>
    <row r="2702" ht="14.4" customHeight="1" s="88"/>
    <row r="2703" ht="14.4" customHeight="1" s="88"/>
    <row r="2704" ht="14.4" customHeight="1" s="88"/>
    <row r="2705" ht="14.4" customHeight="1" s="88"/>
    <row r="2706" ht="14.4" customHeight="1" s="88"/>
    <row r="2707" ht="14.4" customHeight="1" s="88"/>
    <row r="2708" ht="14.4" customHeight="1" s="88"/>
    <row r="2709" ht="14.4" customHeight="1" s="88"/>
    <row r="2710" ht="14.4" customHeight="1" s="88"/>
    <row r="2711" ht="14.4" customHeight="1" s="88"/>
    <row r="2712" ht="14.4" customHeight="1" s="88"/>
    <row r="2713" ht="14.4" customHeight="1" s="88"/>
    <row r="2714" ht="14.4" customHeight="1" s="88"/>
    <row r="2715" ht="14.4" customHeight="1" s="88"/>
    <row r="2716" ht="14.4" customHeight="1" s="88"/>
    <row r="2717" ht="14.4" customHeight="1" s="88"/>
    <row r="2718" ht="14.4" customHeight="1" s="88"/>
    <row r="2719" ht="14.4" customHeight="1" s="88"/>
    <row r="2720" ht="14.4" customHeight="1" s="88"/>
    <row r="2721" ht="14.4" customHeight="1" s="88"/>
    <row r="2722" ht="14.4" customHeight="1" s="88"/>
    <row r="2723" ht="14.4" customHeight="1" s="88"/>
    <row r="2724" ht="14.4" customHeight="1" s="88"/>
    <row r="2725" ht="14.4" customHeight="1" s="88"/>
    <row r="2726" ht="14.4" customHeight="1" s="88"/>
    <row r="2727" ht="14.4" customHeight="1" s="88"/>
    <row r="2728" ht="14.4" customHeight="1" s="88"/>
    <row r="2729" ht="14.4" customHeight="1" s="88"/>
    <row r="2730" ht="14.4" customHeight="1" s="88"/>
    <row r="2731" ht="14.4" customHeight="1" s="88"/>
    <row r="2732" ht="14.4" customHeight="1" s="88"/>
    <row r="2733" ht="14.4" customHeight="1" s="88"/>
    <row r="2734" ht="14.4" customHeight="1" s="88"/>
    <row r="2735" ht="14.4" customHeight="1" s="88"/>
    <row r="2736" ht="14.4" customHeight="1" s="88"/>
    <row r="2737" ht="14.4" customHeight="1" s="88"/>
    <row r="2738" ht="14.4" customHeight="1" s="88"/>
    <row r="2739" ht="14.4" customHeight="1" s="88"/>
    <row r="2740" ht="14.4" customHeight="1" s="88"/>
    <row r="2741" ht="14.4" customHeight="1" s="88"/>
    <row r="2742" ht="14.4" customHeight="1" s="88"/>
    <row r="2743" ht="14.4" customHeight="1" s="88"/>
    <row r="2744" ht="14.4" customHeight="1" s="88"/>
    <row r="2745" ht="14.4" customHeight="1" s="88"/>
    <row r="2746" ht="14.4" customHeight="1" s="88"/>
    <row r="2747" ht="14.4" customHeight="1" s="88"/>
    <row r="2748" ht="14.4" customHeight="1" s="88"/>
    <row r="2749" ht="14.4" customHeight="1" s="88"/>
    <row r="2750" ht="14.4" customHeight="1" s="88"/>
    <row r="2751" ht="14.4" customHeight="1" s="88"/>
    <row r="2752" ht="14.4" customHeight="1" s="88"/>
    <row r="2753" ht="14.4" customHeight="1" s="88"/>
    <row r="2754" ht="14.4" customHeight="1" s="88"/>
    <row r="2755" ht="14.4" customHeight="1" s="88"/>
    <row r="2756" ht="14.4" customHeight="1" s="88"/>
    <row r="2757" ht="14.4" customHeight="1" s="88"/>
    <row r="2758" ht="14.4" customHeight="1" s="88"/>
    <row r="2759" ht="14.4" customHeight="1" s="88"/>
    <row r="2760" ht="14.4" customHeight="1" s="88"/>
    <row r="2761" ht="14.4" customHeight="1" s="88"/>
    <row r="2762" ht="14.4" customHeight="1" s="88"/>
    <row r="2763" ht="14.4" customHeight="1" s="88"/>
    <row r="2764" ht="14.4" customHeight="1" s="88"/>
    <row r="2765" ht="14.4" customHeight="1" s="88"/>
    <row r="2766" ht="14.4" customHeight="1" s="88"/>
    <row r="2767" ht="14.4" customHeight="1" s="88"/>
    <row r="2768" ht="14.4" customHeight="1" s="88"/>
    <row r="2769" ht="14.4" customHeight="1" s="88"/>
    <row r="2770" ht="14.4" customHeight="1" s="88"/>
    <row r="2771" ht="14.4" customHeight="1" s="88"/>
    <row r="2772" ht="14.4" customHeight="1" s="88"/>
    <row r="2773" ht="14.4" customHeight="1" s="88"/>
    <row r="2774" ht="14.4" customHeight="1" s="88"/>
    <row r="2775" ht="14.4" customHeight="1" s="88"/>
    <row r="2776" ht="14.4" customHeight="1" s="88"/>
    <row r="2777" ht="14.4" customHeight="1" s="88"/>
    <row r="2778" ht="14.4" customHeight="1" s="88"/>
    <row r="2779" ht="14.4" customHeight="1" s="88"/>
    <row r="2780" ht="14.4" customHeight="1" s="88"/>
    <row r="2781" ht="14.4" customHeight="1" s="88"/>
    <row r="2782" ht="14.4" customHeight="1" s="88"/>
    <row r="2783" ht="14.4" customHeight="1" s="88"/>
    <row r="2784" ht="14.4" customHeight="1" s="88"/>
    <row r="2785" ht="14.4" customHeight="1" s="88"/>
    <row r="2786" ht="14.4" customHeight="1" s="88"/>
    <row r="2787" ht="14.4" customHeight="1" s="88"/>
    <row r="2788" ht="14.4" customHeight="1" s="88"/>
    <row r="2789" ht="14.4" customHeight="1" s="88"/>
    <row r="2790" ht="14.4" customHeight="1" s="88"/>
    <row r="2791" ht="14.4" customHeight="1" s="88"/>
    <row r="2792" ht="14.4" customHeight="1" s="88"/>
    <row r="2793" ht="14.4" customHeight="1" s="88"/>
    <row r="2794" ht="14.4" customHeight="1" s="88"/>
    <row r="2795" ht="14.4" customHeight="1" s="88"/>
    <row r="2796" ht="14.4" customHeight="1" s="88"/>
    <row r="2797" ht="14.4" customHeight="1" s="88"/>
    <row r="2798" ht="14.4" customHeight="1" s="88"/>
    <row r="2799" ht="14.4" customHeight="1" s="88"/>
    <row r="2800" ht="14.4" customHeight="1" s="88"/>
    <row r="2801" ht="14.4" customHeight="1" s="88"/>
    <row r="2802" ht="14.4" customHeight="1" s="88"/>
    <row r="2803" ht="14.4" customHeight="1" s="88"/>
    <row r="2804" ht="14.4" customHeight="1" s="88"/>
    <row r="2805" ht="14.4" customHeight="1" s="88"/>
    <row r="2806" ht="14.4" customHeight="1" s="88"/>
    <row r="2807" ht="14.4" customHeight="1" s="88"/>
    <row r="2808" ht="14.4" customHeight="1" s="88"/>
    <row r="2809" ht="14.4" customHeight="1" s="88"/>
    <row r="2810" ht="14.4" customHeight="1" s="88"/>
    <row r="2811" ht="14.4" customHeight="1" s="88"/>
    <row r="2812" ht="14.4" customHeight="1" s="88"/>
    <row r="2813" ht="14.4" customHeight="1" s="88"/>
    <row r="2814" ht="14.4" customHeight="1" s="88"/>
    <row r="2815" ht="14.4" customHeight="1" s="88"/>
    <row r="2816" ht="14.4" customHeight="1" s="88"/>
    <row r="2817" ht="14.4" customHeight="1" s="88"/>
    <row r="2818" ht="14.4" customHeight="1" s="88"/>
    <row r="2819" ht="14.4" customHeight="1" s="88"/>
    <row r="2820" ht="14.4" customHeight="1" s="88"/>
    <row r="2821" ht="14.4" customHeight="1" s="88"/>
    <row r="2822" ht="14.4" customHeight="1" s="88"/>
    <row r="2823" ht="14.4" customHeight="1" s="88"/>
    <row r="2824" ht="14.4" customHeight="1" s="88"/>
    <row r="2825" ht="14.4" customHeight="1" s="88"/>
    <row r="2826" ht="14.4" customHeight="1" s="88"/>
    <row r="2827" ht="14.4" customHeight="1" s="88"/>
    <row r="2828" ht="14.4" customHeight="1" s="88"/>
    <row r="2829" ht="14.4" customHeight="1" s="88"/>
    <row r="2830" ht="14.4" customHeight="1" s="88"/>
    <row r="2831" ht="14.4" customHeight="1" s="88"/>
    <row r="2832" ht="14.4" customHeight="1" s="88"/>
    <row r="2833" ht="14.4" customHeight="1" s="88"/>
    <row r="2834" ht="14.4" customHeight="1" s="88"/>
    <row r="2835" ht="14.4" customHeight="1" s="88"/>
    <row r="2836" ht="14.4" customHeight="1" s="88"/>
    <row r="2837" ht="14.4" customHeight="1" s="88"/>
    <row r="2838" ht="14.4" customHeight="1" s="88"/>
    <row r="2839" ht="14.4" customHeight="1" s="88"/>
    <row r="2840" ht="14.4" customHeight="1" s="88"/>
    <row r="2841" ht="14.4" customHeight="1" s="88"/>
    <row r="2842" ht="14.4" customHeight="1" s="88"/>
    <row r="2843" ht="14.4" customHeight="1" s="88"/>
    <row r="2844" ht="14.4" customHeight="1" s="88"/>
    <row r="2845" ht="14.4" customHeight="1" s="88"/>
    <row r="2846" ht="14.4" customHeight="1" s="88"/>
    <row r="2847" ht="14.4" customHeight="1" s="88"/>
    <row r="2848" ht="14.4" customHeight="1" s="88"/>
    <row r="2849" ht="14.4" customHeight="1" s="88"/>
    <row r="2850" ht="14.4" customHeight="1" s="88"/>
    <row r="2851" ht="14.4" customHeight="1" s="88"/>
    <row r="2852" ht="14.4" customHeight="1" s="88"/>
    <row r="2853" ht="14.4" customHeight="1" s="88"/>
    <row r="2854" ht="14.4" customHeight="1" s="88"/>
    <row r="2855" ht="14.4" customHeight="1" s="88"/>
    <row r="2856" ht="14.4" customHeight="1" s="88"/>
    <row r="2857" ht="14.4" customHeight="1" s="88"/>
    <row r="2858" ht="14.4" customHeight="1" s="88"/>
    <row r="2859" ht="14.4" customHeight="1" s="88"/>
    <row r="2860" ht="14.4" customHeight="1" s="88"/>
    <row r="2861" ht="14.4" customHeight="1" s="88"/>
    <row r="2862" ht="14.4" customHeight="1" s="88"/>
    <row r="2863" ht="14.4" customHeight="1" s="88"/>
    <row r="2864" ht="14.4" customHeight="1" s="88"/>
    <row r="2865" ht="14.4" customHeight="1" s="88"/>
    <row r="2866" ht="14.4" customHeight="1" s="88"/>
    <row r="2867" ht="14.4" customHeight="1" s="88"/>
    <row r="2868" ht="14.4" customHeight="1" s="88"/>
    <row r="2869" ht="14.4" customHeight="1" s="88"/>
    <row r="2870" ht="14.4" customHeight="1" s="88"/>
    <row r="2871" ht="14.4" customHeight="1" s="88"/>
    <row r="2872" ht="14.4" customHeight="1" s="88"/>
    <row r="2873" ht="14.4" customHeight="1" s="88"/>
    <row r="2874" ht="14.4" customHeight="1" s="88"/>
    <row r="2875" ht="14.4" customHeight="1" s="88"/>
    <row r="2876" ht="14.4" customHeight="1" s="88"/>
    <row r="2877" ht="14.4" customHeight="1" s="88"/>
    <row r="2878" ht="14.4" customHeight="1" s="88"/>
    <row r="2879" ht="14.4" customHeight="1" s="88"/>
    <row r="2880" ht="14.4" customHeight="1" s="88"/>
    <row r="2881" ht="14.4" customHeight="1" s="88"/>
    <row r="2882" ht="14.4" customHeight="1" s="88"/>
    <row r="2883" ht="14.4" customHeight="1" s="88"/>
    <row r="2884" ht="14.4" customHeight="1" s="88"/>
    <row r="2885" ht="14.4" customHeight="1" s="88"/>
    <row r="2886" ht="14.4" customHeight="1" s="88"/>
    <row r="2887" ht="14.4" customHeight="1" s="88"/>
    <row r="2888" ht="14.4" customHeight="1" s="88"/>
    <row r="2889" ht="14.4" customHeight="1" s="88"/>
    <row r="2890" ht="14.4" customHeight="1" s="88"/>
    <row r="2891" ht="14.4" customHeight="1" s="88"/>
    <row r="2892" ht="14.4" customHeight="1" s="88"/>
    <row r="2893" ht="14.4" customHeight="1" s="88"/>
    <row r="2894" ht="14.4" customHeight="1" s="88"/>
    <row r="2895" ht="14.4" customHeight="1" s="88"/>
    <row r="2896" ht="14.4" customHeight="1" s="88"/>
    <row r="2897" ht="14.4" customHeight="1" s="88"/>
    <row r="2898" ht="14.4" customHeight="1" s="88"/>
    <row r="2899" ht="14.4" customHeight="1" s="88"/>
    <row r="2900" ht="14.4" customHeight="1" s="88"/>
    <row r="2901" ht="14.4" customHeight="1" s="88"/>
    <row r="2902" ht="14.4" customHeight="1" s="88"/>
    <row r="2903" ht="14.4" customHeight="1" s="88"/>
    <row r="2904" ht="14.4" customHeight="1" s="88"/>
    <row r="2905" ht="14.4" customHeight="1" s="88"/>
    <row r="2906" ht="14.4" customHeight="1" s="88"/>
    <row r="2907" ht="14.4" customHeight="1" s="88"/>
    <row r="2908" ht="14.4" customHeight="1" s="88"/>
    <row r="2909" ht="14.4" customHeight="1" s="88"/>
    <row r="2910" ht="14.4" customHeight="1" s="88"/>
    <row r="2911" ht="14.4" customHeight="1" s="88"/>
    <row r="2912" ht="14.4" customHeight="1" s="88"/>
    <row r="2913" ht="14.4" customHeight="1" s="88"/>
    <row r="2914" ht="14.4" customHeight="1" s="88"/>
    <row r="2915" ht="14.4" customHeight="1" s="88"/>
    <row r="2916" ht="14.4" customHeight="1" s="88"/>
    <row r="2917" ht="14.4" customHeight="1" s="88"/>
    <row r="2918" ht="14.4" customHeight="1" s="88"/>
    <row r="2919" ht="14.4" customHeight="1" s="88"/>
    <row r="2920" ht="14.4" customHeight="1" s="88"/>
    <row r="2921" ht="14.4" customHeight="1" s="88"/>
    <row r="2922" ht="14.4" customHeight="1" s="88"/>
    <row r="2923" ht="14.4" customHeight="1" s="88"/>
    <row r="2924" ht="14.4" customHeight="1" s="88"/>
    <row r="2925" ht="14.4" customHeight="1" s="88"/>
    <row r="2926" ht="14.4" customHeight="1" s="88"/>
    <row r="2927" ht="14.4" customHeight="1" s="88"/>
    <row r="2928" ht="14.4" customHeight="1" s="88"/>
    <row r="2929" ht="14.4" customHeight="1" s="88"/>
    <row r="2930" ht="14.4" customHeight="1" s="88"/>
    <row r="2931" ht="14.4" customHeight="1" s="88"/>
    <row r="2932" ht="14.4" customHeight="1" s="88"/>
    <row r="2933" ht="14.4" customHeight="1" s="88"/>
    <row r="2934" ht="14.4" customHeight="1" s="88"/>
    <row r="2935" ht="14.4" customHeight="1" s="88"/>
    <row r="2936" ht="14.4" customHeight="1" s="88"/>
    <row r="2937" ht="14.4" customHeight="1" s="88"/>
    <row r="2938" ht="14.4" customHeight="1" s="88"/>
    <row r="2939" ht="14.4" customHeight="1" s="88"/>
    <row r="2940" ht="14.4" customHeight="1" s="88"/>
    <row r="2941" ht="14.4" customHeight="1" s="88"/>
    <row r="2942" ht="14.4" customHeight="1" s="88"/>
    <row r="2943" ht="14.4" customHeight="1" s="88"/>
    <row r="2944" ht="14.4" customHeight="1" s="88"/>
    <row r="2945" ht="14.4" customHeight="1" s="88"/>
    <row r="2946" ht="14.4" customHeight="1" s="88"/>
    <row r="2947" ht="14.4" customHeight="1" s="88"/>
    <row r="2948" ht="14.4" customHeight="1" s="88"/>
    <row r="2949" ht="14.4" customHeight="1" s="88"/>
    <row r="2950" ht="14.4" customHeight="1" s="88"/>
    <row r="2951" ht="14.4" customHeight="1" s="88"/>
    <row r="2952" ht="14.4" customHeight="1" s="88"/>
    <row r="2953" ht="14.4" customHeight="1" s="88"/>
    <row r="2954" ht="14.4" customHeight="1" s="88"/>
    <row r="2955" ht="14.4" customHeight="1" s="88"/>
    <row r="2956" ht="14.4" customHeight="1" s="88"/>
    <row r="2957" ht="14.4" customHeight="1" s="88"/>
    <row r="2958" ht="14.4" customHeight="1" s="88"/>
    <row r="2959" ht="14.4" customHeight="1" s="88"/>
    <row r="2960" ht="14.4" customHeight="1" s="88"/>
    <row r="2961" ht="14.4" customHeight="1" s="88"/>
    <row r="2962" ht="14.4" customHeight="1" s="88"/>
    <row r="2963" ht="14.4" customHeight="1" s="88"/>
    <row r="2964" ht="14.4" customHeight="1" s="88"/>
    <row r="2965" ht="14.4" customHeight="1" s="88"/>
    <row r="2966" ht="14.4" customHeight="1" s="88"/>
    <row r="2967" ht="14.4" customHeight="1" s="88"/>
    <row r="2968" ht="14.4" customHeight="1" s="88"/>
    <row r="2969" ht="14.4" customHeight="1" s="88"/>
    <row r="2970" ht="14.4" customHeight="1" s="88"/>
    <row r="2971" ht="14.4" customHeight="1" s="88"/>
    <row r="2972" ht="14.4" customHeight="1" s="88"/>
    <row r="2973" ht="14.4" customHeight="1" s="88"/>
    <row r="2974" ht="14.4" customHeight="1" s="88"/>
    <row r="2975" ht="14.4" customHeight="1" s="88"/>
    <row r="2976" ht="14.4" customHeight="1" s="88"/>
    <row r="2977" ht="14.4" customHeight="1" s="88"/>
    <row r="2978" ht="14.4" customHeight="1" s="88"/>
    <row r="2979" ht="14.4" customHeight="1" s="88"/>
    <row r="2980" ht="14.4" customHeight="1" s="88"/>
    <row r="2981" ht="14.4" customHeight="1" s="88"/>
    <row r="2982" ht="14.4" customHeight="1" s="88"/>
    <row r="2983" ht="14.4" customHeight="1" s="88"/>
    <row r="2984" ht="14.4" customHeight="1" s="88"/>
    <row r="2985" ht="14.4" customHeight="1" s="88"/>
    <row r="2986" ht="14.4" customHeight="1" s="88"/>
    <row r="2987" ht="14.4" customHeight="1" s="88"/>
    <row r="2988" ht="14.4" customHeight="1" s="88"/>
    <row r="2989" ht="14.4" customHeight="1" s="88"/>
    <row r="2990" ht="14.4" customHeight="1" s="88"/>
    <row r="2991" ht="14.4" customHeight="1" s="88"/>
    <row r="2992" ht="14.4" customHeight="1" s="88"/>
    <row r="2993" ht="14.4" customHeight="1" s="88"/>
    <row r="2994" ht="14.4" customHeight="1" s="88"/>
    <row r="2995" ht="14.4" customHeight="1" s="88"/>
    <row r="2996" ht="14.4" customHeight="1" s="88"/>
    <row r="2997" ht="14.4" customHeight="1" s="88"/>
    <row r="2998" ht="14.4" customHeight="1" s="88"/>
    <row r="2999" ht="14.4" customHeight="1" s="88"/>
    <row r="3000" ht="14.4" customHeight="1" s="88"/>
    <row r="3001" ht="14.4" customHeight="1" s="88"/>
    <row r="3002" ht="14.4" customHeight="1" s="88"/>
    <row r="3003" ht="14.4" customHeight="1" s="88"/>
    <row r="3004" ht="14.4" customHeight="1" s="88"/>
    <row r="3005" ht="14.4" customHeight="1" s="88"/>
    <row r="3006" ht="14.4" customHeight="1" s="88"/>
    <row r="3007" ht="14.4" customHeight="1" s="88"/>
    <row r="3008" ht="14.4" customHeight="1" s="88"/>
    <row r="3009" ht="14.4" customHeight="1" s="88"/>
    <row r="3010" ht="14.4" customHeight="1" s="88"/>
    <row r="3011" ht="14.4" customHeight="1" s="88"/>
    <row r="3012" ht="14.4" customHeight="1" s="88"/>
    <row r="3013" ht="14.4" customHeight="1" s="88"/>
    <row r="3014" ht="14.4" customHeight="1" s="88"/>
    <row r="3015" ht="14.4" customHeight="1" s="88"/>
    <row r="3016" ht="14.4" customHeight="1" s="88"/>
    <row r="3017" ht="14.4" customHeight="1" s="88"/>
    <row r="3018" ht="14.4" customHeight="1" s="88"/>
    <row r="3019" ht="14.4" customHeight="1" s="88"/>
    <row r="3020" ht="14.4" customHeight="1" s="88"/>
    <row r="3021" ht="14.4" customHeight="1" s="88"/>
    <row r="3022" ht="14.4" customHeight="1" s="88"/>
    <row r="3023" ht="14.4" customHeight="1" s="88"/>
    <row r="3024" ht="14.4" customHeight="1" s="88"/>
    <row r="3025" ht="14.4" customHeight="1" s="88"/>
    <row r="3026" ht="14.4" customHeight="1" s="88"/>
    <row r="3027" ht="14.4" customHeight="1" s="88"/>
    <row r="3028" ht="14.4" customHeight="1" s="88"/>
    <row r="3029" ht="14.4" customHeight="1" s="88"/>
    <row r="3030" ht="14.4" customHeight="1" s="88"/>
    <row r="3031" ht="14.4" customHeight="1" s="88"/>
    <row r="3032" ht="14.4" customHeight="1" s="88"/>
    <row r="3033" ht="14.4" customHeight="1" s="88"/>
    <row r="3034" ht="14.4" customHeight="1" s="88"/>
    <row r="3035" ht="14.4" customHeight="1" s="88"/>
    <row r="3036" ht="14.4" customHeight="1" s="88"/>
    <row r="3037" ht="14.4" customHeight="1" s="88"/>
    <row r="3038" ht="14.4" customHeight="1" s="88"/>
    <row r="3039" ht="14.4" customHeight="1" s="88"/>
    <row r="3040" ht="14.4" customHeight="1" s="88"/>
    <row r="3041" ht="14.4" customHeight="1" s="88"/>
    <row r="3042" ht="14.4" customHeight="1" s="88"/>
    <row r="3043" ht="14.4" customHeight="1" s="88"/>
    <row r="3044" ht="14.4" customHeight="1" s="88"/>
    <row r="3045" ht="14.4" customHeight="1" s="88"/>
    <row r="3046" ht="14.4" customHeight="1" s="88"/>
    <row r="3047" ht="14.4" customHeight="1" s="88"/>
    <row r="3048" ht="14.4" customHeight="1" s="88"/>
    <row r="3049" ht="14.4" customHeight="1" s="88"/>
    <row r="3050" ht="14.4" customHeight="1" s="88"/>
    <row r="3051" ht="14.4" customHeight="1" s="88"/>
    <row r="3052" ht="14.4" customHeight="1" s="88"/>
    <row r="3053" ht="14.4" customHeight="1" s="88"/>
    <row r="3054" ht="14.4" customHeight="1" s="88"/>
    <row r="3055" ht="14.4" customHeight="1" s="88"/>
    <row r="3056" ht="14.4" customHeight="1" s="88"/>
    <row r="3057" ht="14.4" customHeight="1" s="88"/>
    <row r="3058" ht="14.4" customHeight="1" s="88"/>
    <row r="3059" ht="14.4" customHeight="1" s="88"/>
    <row r="3060" ht="14.4" customHeight="1" s="88"/>
    <row r="3061" ht="14.4" customHeight="1" s="88"/>
    <row r="3062" ht="14.4" customHeight="1" s="88"/>
    <row r="3063" ht="14.4" customHeight="1" s="88"/>
    <row r="3064" ht="14.4" customHeight="1" s="88"/>
    <row r="3065" ht="14.4" customHeight="1" s="88"/>
    <row r="3066" ht="14.4" customHeight="1" s="88"/>
    <row r="3067" ht="14.4" customHeight="1" s="88"/>
    <row r="3068" ht="14.4" customHeight="1" s="88"/>
    <row r="3069" ht="14.4" customHeight="1" s="88"/>
    <row r="3070" ht="14.4" customHeight="1" s="88"/>
    <row r="3071" ht="14.4" customHeight="1" s="88"/>
    <row r="3072" ht="14.4" customHeight="1" s="88"/>
    <row r="3073" ht="14.4" customHeight="1" s="88"/>
    <row r="3074" ht="14.4" customHeight="1" s="88"/>
    <row r="3075" ht="14.4" customHeight="1" s="88"/>
    <row r="3076" ht="14.4" customHeight="1" s="88"/>
    <row r="3077" ht="14.4" customHeight="1" s="88"/>
    <row r="3078" ht="14.4" customHeight="1" s="88"/>
    <row r="3079" ht="14.4" customHeight="1" s="88"/>
    <row r="3080" ht="14.4" customHeight="1" s="88"/>
    <row r="3081" ht="14.4" customHeight="1" s="88"/>
    <row r="3082" ht="14.4" customHeight="1" s="88"/>
    <row r="3083" ht="14.4" customHeight="1" s="88"/>
    <row r="3084" ht="14.4" customHeight="1" s="88"/>
    <row r="3085" ht="14.4" customHeight="1" s="88"/>
    <row r="3086" ht="14.4" customHeight="1" s="88"/>
    <row r="3087" ht="14.4" customHeight="1" s="88"/>
    <row r="3088" ht="14.4" customHeight="1" s="88"/>
    <row r="3089" ht="14.4" customHeight="1" s="88"/>
    <row r="3090" ht="14.4" customHeight="1" s="88"/>
    <row r="3091" ht="14.4" customHeight="1" s="88"/>
    <row r="3092" ht="14.4" customHeight="1" s="88"/>
    <row r="3093" ht="14.4" customHeight="1" s="88"/>
    <row r="3094" ht="14.4" customHeight="1" s="88"/>
    <row r="3095" ht="14.4" customHeight="1" s="88"/>
    <row r="3096" ht="14.4" customHeight="1" s="88"/>
    <row r="3097" ht="14.4" customHeight="1" s="88"/>
    <row r="3098" ht="14.4" customHeight="1" s="88"/>
    <row r="3099" ht="14.4" customHeight="1" s="88"/>
    <row r="3100" ht="14.4" customHeight="1" s="88"/>
    <row r="3101" ht="14.4" customHeight="1" s="88"/>
    <row r="3102" ht="14.4" customHeight="1" s="88"/>
    <row r="3103" ht="14.4" customHeight="1" s="88"/>
    <row r="3104" ht="14.4" customHeight="1" s="88"/>
    <row r="3105" ht="14.4" customHeight="1" s="88"/>
    <row r="3106" ht="14.4" customHeight="1" s="88"/>
    <row r="3107" ht="14.4" customHeight="1" s="88"/>
    <row r="3108" ht="14.4" customHeight="1" s="88"/>
    <row r="3109" ht="14.4" customHeight="1" s="88"/>
    <row r="3110" ht="14.4" customHeight="1" s="88"/>
    <row r="3111" ht="14.4" customHeight="1" s="88"/>
    <row r="3112" ht="14.4" customHeight="1" s="88"/>
    <row r="3113" ht="14.4" customHeight="1" s="88"/>
    <row r="3114" ht="14.4" customHeight="1" s="88"/>
    <row r="3115" ht="14.4" customHeight="1" s="88"/>
    <row r="3116" ht="14.4" customHeight="1" s="88"/>
    <row r="3117" ht="14.4" customHeight="1" s="88"/>
    <row r="3118" ht="14.4" customHeight="1" s="88"/>
    <row r="3119" ht="14.4" customHeight="1" s="88"/>
    <row r="3120" ht="14.4" customHeight="1" s="88"/>
    <row r="3121" ht="14.4" customHeight="1" s="88"/>
    <row r="3122" ht="14.4" customHeight="1" s="88"/>
    <row r="3123" ht="14.4" customHeight="1" s="88"/>
    <row r="3124" ht="14.4" customHeight="1" s="88"/>
    <row r="3125" ht="14.4" customHeight="1" s="88"/>
    <row r="3126" ht="14.4" customHeight="1" s="88"/>
    <row r="3127" ht="14.4" customHeight="1" s="88"/>
    <row r="3128" ht="14.4" customHeight="1" s="88"/>
    <row r="3129" ht="14.4" customHeight="1" s="88"/>
    <row r="3130" ht="14.4" customHeight="1" s="88"/>
    <row r="3131" ht="14.4" customHeight="1" s="88"/>
    <row r="3132" ht="14.4" customHeight="1" s="88"/>
    <row r="3133" ht="14.4" customHeight="1" s="88"/>
    <row r="3134" ht="14.4" customHeight="1" s="88"/>
    <row r="3135" ht="14.4" customHeight="1" s="88"/>
    <row r="3136" ht="14.4" customHeight="1" s="88"/>
    <row r="3137" ht="14.4" customHeight="1" s="88"/>
    <row r="3138" ht="14.4" customHeight="1" s="88"/>
    <row r="3139" ht="14.4" customHeight="1" s="88"/>
    <row r="3140" ht="14.4" customHeight="1" s="88"/>
    <row r="3141" ht="14.4" customHeight="1" s="88"/>
    <row r="3142" ht="14.4" customHeight="1" s="88"/>
    <row r="3143" ht="14.4" customHeight="1" s="88"/>
    <row r="3144" ht="14.4" customHeight="1" s="88"/>
    <row r="3145" ht="14.4" customHeight="1" s="88"/>
    <row r="3146" ht="14.4" customHeight="1" s="88"/>
    <row r="3147" ht="14.4" customHeight="1" s="88"/>
    <row r="3148" ht="14.4" customHeight="1" s="88"/>
    <row r="3149" ht="14.4" customHeight="1" s="88"/>
    <row r="3150" ht="14.4" customHeight="1" s="88"/>
    <row r="3151" ht="14.4" customHeight="1" s="88"/>
    <row r="3152" ht="14.4" customHeight="1" s="88"/>
    <row r="3153" ht="14.4" customHeight="1" s="88"/>
    <row r="3154" ht="14.4" customHeight="1" s="88"/>
    <row r="3155" ht="14.4" customHeight="1" s="88"/>
    <row r="3156" ht="14.4" customHeight="1" s="88"/>
    <row r="3157" ht="14.4" customHeight="1" s="88"/>
    <row r="3158" ht="14.4" customHeight="1" s="88"/>
    <row r="3159" ht="14.4" customHeight="1" s="88"/>
    <row r="3160" ht="14.4" customHeight="1" s="88"/>
    <row r="3161" ht="14.4" customHeight="1" s="88"/>
    <row r="3162" ht="14.4" customHeight="1" s="88"/>
    <row r="3163" ht="14.4" customHeight="1" s="88"/>
    <row r="3164" ht="14.4" customHeight="1" s="88"/>
    <row r="3165" ht="14.4" customHeight="1" s="88"/>
    <row r="3166" ht="14.4" customHeight="1" s="88"/>
    <row r="3167" ht="14.4" customHeight="1" s="88"/>
    <row r="3168" ht="14.4" customHeight="1" s="88"/>
    <row r="3169" ht="14.4" customHeight="1" s="88"/>
    <row r="3170" ht="14.4" customHeight="1" s="88"/>
    <row r="3171" ht="14.4" customHeight="1" s="88"/>
    <row r="3172" ht="14.4" customHeight="1" s="88"/>
    <row r="3173" ht="14.4" customHeight="1" s="88"/>
    <row r="3174" ht="14.4" customHeight="1" s="88"/>
    <row r="3175" ht="14.4" customHeight="1" s="88"/>
    <row r="3176" ht="14.4" customHeight="1" s="88"/>
    <row r="3177" ht="14.4" customHeight="1" s="88"/>
    <row r="3178" ht="14.4" customHeight="1" s="88"/>
    <row r="3179" ht="14.4" customHeight="1" s="88"/>
    <row r="3180" ht="14.4" customHeight="1" s="88"/>
    <row r="3181" ht="14.4" customHeight="1" s="88"/>
    <row r="3182" ht="14.4" customHeight="1" s="88"/>
    <row r="3183" ht="14.4" customHeight="1" s="88"/>
    <row r="3184" ht="14.4" customHeight="1" s="88"/>
    <row r="3185" ht="14.4" customHeight="1" s="88"/>
    <row r="3186" ht="14.4" customHeight="1" s="88"/>
    <row r="3187" ht="14.4" customHeight="1" s="88"/>
    <row r="3188" ht="14.4" customHeight="1" s="88"/>
    <row r="3189" ht="14.4" customHeight="1" s="88"/>
    <row r="3190" ht="14.4" customHeight="1" s="88"/>
    <row r="3191" ht="14.4" customHeight="1" s="88"/>
    <row r="3192" ht="14.4" customHeight="1" s="88"/>
    <row r="3193" ht="14.4" customHeight="1" s="88"/>
    <row r="3194" ht="14.4" customHeight="1" s="88"/>
    <row r="3195" ht="14.4" customHeight="1" s="88"/>
    <row r="3196" ht="14.4" customHeight="1" s="88"/>
    <row r="3197" ht="14.4" customHeight="1" s="88"/>
    <row r="3198" ht="14.4" customHeight="1" s="88"/>
    <row r="3199" ht="14.4" customHeight="1" s="88"/>
    <row r="3200" ht="14.4" customHeight="1" s="88"/>
    <row r="3201" ht="14.4" customHeight="1" s="88"/>
    <row r="3202" ht="14.4" customHeight="1" s="88"/>
    <row r="3203" ht="14.4" customHeight="1" s="88"/>
    <row r="3204" ht="14.4" customHeight="1" s="88"/>
    <row r="3205" ht="14.4" customHeight="1" s="88"/>
    <row r="3206" ht="14.4" customHeight="1" s="88"/>
    <row r="3207" ht="14.4" customHeight="1" s="88"/>
    <row r="3208" ht="14.4" customHeight="1" s="88"/>
    <row r="3209" ht="14.4" customHeight="1" s="88"/>
    <row r="3210" ht="14.4" customHeight="1" s="88"/>
    <row r="3211" ht="14.4" customHeight="1" s="88"/>
    <row r="3212" ht="14.4" customHeight="1" s="88"/>
    <row r="3213" ht="14.4" customHeight="1" s="88"/>
    <row r="3214" ht="14.4" customHeight="1" s="88"/>
    <row r="3215" ht="14.4" customHeight="1" s="88"/>
    <row r="3216" ht="14.4" customHeight="1" s="88"/>
    <row r="3217" ht="14.4" customHeight="1" s="88"/>
    <row r="3218" ht="14.4" customHeight="1" s="88"/>
    <row r="3219" ht="14.4" customHeight="1" s="88"/>
    <row r="3220" ht="14.4" customHeight="1" s="88"/>
    <row r="3221" ht="14.4" customHeight="1" s="88"/>
    <row r="3222" ht="14.4" customHeight="1" s="88"/>
    <row r="3223" ht="14.4" customHeight="1" s="88"/>
    <row r="3224" ht="14.4" customHeight="1" s="8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5" sqref="A15"/>
    </sheetView>
  </sheetViews>
  <sheetFormatPr baseColWidth="8" defaultColWidth="9.138888888888889" defaultRowHeight="13.2"/>
  <cols>
    <col width="119.777777777778" customWidth="1" style="88" min="1" max="1"/>
    <col width="31.8888888888889" customWidth="1" style="88" min="2" max="2"/>
    <col width="46.3333333333333" customWidth="1" style="88" min="3" max="3"/>
  </cols>
  <sheetData>
    <row r="1" ht="31.2" customHeight="1" s="88">
      <c r="A1" s="8" t="inlineStr">
        <is>
          <t>1.【入库管理】-[收货记录查询]，操作时间选昨天，查询，导出(全量数据），切换不同仓库重复查询导出操作,使用高级筛选功能转换成子表[收货记录查询高级筛选]中的表头---将转换后的明细复制到[2.0收货记录查询]</t>
        </is>
      </c>
      <c r="B1" s="9" t="inlineStr">
        <is>
          <t>注意1：操作时间挪至表头第一位</t>
        </is>
      </c>
      <c r="C1" s="9" t="inlineStr">
        <is>
          <t>注意2：导出5个不同仓库的表格后合并在一个表中，与报表【业务简报】可共用</t>
        </is>
      </c>
    </row>
    <row r="2" ht="15.6" customHeight="1" s="88">
      <c r="A2" s="8" t="inlineStr">
        <is>
          <t>2.【综合查询】-[库存查询汇总]查询，导出（全量数据）---复制到[2.0总库存]</t>
        </is>
      </c>
      <c r="B2" s="9" t="inlineStr">
        <is>
          <t>注意：与报表【库存5品牌】可共用</t>
        </is>
      </c>
      <c r="C2" s="10" t="n"/>
    </row>
    <row r="3" ht="31.2" customHeight="1" s="88">
      <c r="A3" s="8" t="inlineStr">
        <is>
          <t>3.【综合查询】-[出库全流程单据清单]，运单出库时间昨天6:00-次日6:00，查询，导出（全量数据）,使用高级筛选功能转换成子表[出库全流程高级筛选]中的表头---将转换后的明细复制到[2.0出库全流程]</t>
        </is>
      </c>
      <c r="B3" s="9" t="inlineStr">
        <is>
          <t>注意：与报表【业务简报】可共用</t>
        </is>
      </c>
      <c r="C3" s="10" t="n"/>
    </row>
    <row r="4" ht="15.6" customHeight="1" s="88">
      <c r="A4" s="8" t="inlineStr">
        <is>
          <t>4.复制完需要把公式填充完整，检查公式是否正确</t>
        </is>
      </c>
      <c r="B4" s="10" t="n"/>
      <c r="C4" s="10" t="n"/>
    </row>
    <row r="5">
      <c r="A5" s="10" t="n"/>
      <c r="B5" s="10" t="n"/>
      <c r="C5" s="10" t="n"/>
    </row>
    <row r="6" hidden="1" ht="15.6" customHeight="1" s="88">
      <c r="A6" s="11" t="inlineStr">
        <is>
          <t>a.导网页CT的广东终端仓库，在库的 机模 和 宣传物料 修改整理跟表里格式一样（一周导一次）</t>
        </is>
      </c>
      <c r="B6" s="10" t="n"/>
      <c r="C6" s="10" t="n"/>
    </row>
    <row r="7">
      <c r="A7" s="10" t="n"/>
      <c r="B7" s="10" t="n"/>
      <c r="C7" s="10" t="n"/>
    </row>
    <row r="8">
      <c r="A8" s="12" t="inlineStr">
        <is>
          <t>报表发送方式：【广东终端信息反馈群】发送图片及表格文件</t>
        </is>
      </c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  <row r="13">
      <c r="A13" s="10" t="n"/>
      <c r="B13" s="10" t="n"/>
      <c r="C13" s="10" t="n"/>
    </row>
    <row r="14">
      <c r="A14" s="10" t="n"/>
      <c r="B14" s="10" t="n"/>
      <c r="C14" s="10" t="n"/>
    </row>
    <row r="15">
      <c r="A15" s="10" t="n"/>
      <c r="B15" s="10" t="n"/>
      <c r="C15" s="10" t="n"/>
    </row>
    <row r="16">
      <c r="A16" s="10" t="n"/>
      <c r="B16" s="10" t="n"/>
      <c r="C16" s="10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 filterMode="1">
    <outlinePr summaryBelow="1" summaryRight="1"/>
    <pageSetUpPr/>
  </sheetPr>
  <dimension ref="D1:K198"/>
  <sheetViews>
    <sheetView workbookViewId="0">
      <pane ySplit="1" topLeftCell="A2" activePane="bottomLeft" state="frozen"/>
      <selection activeCell="A1" sqref="A1"/>
      <selection pane="bottomLeft" activeCell="I213" sqref="I213"/>
    </sheetView>
  </sheetViews>
  <sheetFormatPr baseColWidth="8" defaultColWidth="8.888888888888889" defaultRowHeight="13.2"/>
  <cols>
    <col width="28.5555555555556" customWidth="1" style="88" min="4" max="4"/>
    <col width="5.44444444444444" customWidth="1" style="88" min="5" max="5"/>
    <col width="36.2222222222222" customWidth="1" style="88" min="8" max="8"/>
    <col width="13.2222222222222" customWidth="1" style="88" min="9" max="9"/>
    <col width="11.2222222222222" customWidth="1" style="88" min="10" max="10"/>
    <col width="30.5740740740741" customWidth="1" style="88" min="11" max="11"/>
  </cols>
  <sheetData>
    <row r="1">
      <c r="D1" s="2" t="inlineStr">
        <is>
          <t>仓库名称</t>
        </is>
      </c>
      <c r="E1" s="1" t="inlineStr">
        <is>
          <t>仓库</t>
        </is>
      </c>
      <c r="F1" s="2" t="inlineStr">
        <is>
          <t>货主编码(工厂编码)</t>
        </is>
      </c>
      <c r="G1" s="2" t="inlineStr">
        <is>
          <t>库存地点</t>
        </is>
      </c>
      <c r="H1" s="1" t="inlineStr">
        <is>
          <t>业务归属1</t>
        </is>
      </c>
      <c r="I1" s="1" t="inlineStr">
        <is>
          <t>业务归属2</t>
        </is>
      </c>
      <c r="J1" s="1" t="inlineStr">
        <is>
          <t>库存归属</t>
        </is>
      </c>
      <c r="K1" s="3" t="inlineStr">
        <is>
          <t>业务归属</t>
        </is>
      </c>
    </row>
    <row r="2" hidden="1" s="88">
      <c r="D2" s="1" t="inlineStr">
        <is>
          <t>广东广州市省仓(科捷)</t>
        </is>
      </c>
      <c r="E2" s="1" t="inlineStr">
        <is>
          <t>440</t>
        </is>
      </c>
      <c r="F2" s="2" t="inlineStr">
        <is>
          <t>4400</t>
        </is>
      </c>
      <c r="G2" s="2" t="inlineStr">
        <is>
          <t>2001</t>
        </is>
      </c>
      <c r="H2">
        <f>D2&amp;F2&amp;G2</f>
        <v/>
      </c>
      <c r="I2">
        <f>E2&amp;F2</f>
        <v/>
      </c>
      <c r="J2" s="1" t="inlineStr">
        <is>
          <t>增城省仓</t>
        </is>
      </c>
      <c r="K2">
        <f>D2&amp;F2</f>
        <v/>
      </c>
    </row>
    <row r="3" hidden="1" s="88">
      <c r="D3" s="1" t="inlineStr">
        <is>
          <t>广东广州市省仓(科捷)</t>
        </is>
      </c>
      <c r="E3" s="1" t="inlineStr">
        <is>
          <t>440</t>
        </is>
      </c>
      <c r="F3" s="2" t="inlineStr">
        <is>
          <t>4400</t>
        </is>
      </c>
      <c r="G3" s="2" t="inlineStr">
        <is>
          <t>2004</t>
        </is>
      </c>
      <c r="H3">
        <f>D3&amp;F3&amp;G3</f>
        <v/>
      </c>
      <c r="I3">
        <f>E3&amp;F3</f>
        <v/>
      </c>
      <c r="J3" s="1" t="inlineStr">
        <is>
          <t>增城省仓</t>
        </is>
      </c>
      <c r="K3">
        <f>D3&amp;F3</f>
        <v/>
      </c>
    </row>
    <row r="4" hidden="1" s="88">
      <c r="D4" s="1" t="inlineStr">
        <is>
          <t>广东广州市省仓(科捷)</t>
        </is>
      </c>
      <c r="E4" s="1" t="inlineStr">
        <is>
          <t>440</t>
        </is>
      </c>
      <c r="F4" s="2" t="inlineStr">
        <is>
          <t>4400</t>
        </is>
      </c>
      <c r="G4" s="2" t="inlineStr">
        <is>
          <t>2049</t>
        </is>
      </c>
      <c r="H4">
        <f>D4&amp;F4&amp;G4</f>
        <v/>
      </c>
      <c r="I4">
        <f>E4&amp;F4</f>
        <v/>
      </c>
      <c r="J4" s="1" t="inlineStr">
        <is>
          <t>增城省仓</t>
        </is>
      </c>
      <c r="K4">
        <f>D4&amp;F4</f>
        <v/>
      </c>
    </row>
    <row r="5" hidden="1" s="88">
      <c r="D5" s="1" t="inlineStr">
        <is>
          <t>广东广州市省仓(科捷)</t>
        </is>
      </c>
      <c r="E5" s="1" t="inlineStr">
        <is>
          <t>440</t>
        </is>
      </c>
      <c r="F5" s="2" t="inlineStr">
        <is>
          <t>4400</t>
        </is>
      </c>
      <c r="G5" s="2" t="inlineStr">
        <is>
          <t>2061</t>
        </is>
      </c>
      <c r="H5">
        <f>D5&amp;F5&amp;G5</f>
        <v/>
      </c>
      <c r="I5">
        <f>E5&amp;F5</f>
        <v/>
      </c>
      <c r="J5" s="1" t="inlineStr">
        <is>
          <t>增城省仓</t>
        </is>
      </c>
      <c r="K5">
        <f>D5&amp;F5</f>
        <v/>
      </c>
    </row>
    <row r="6" hidden="1" s="88">
      <c r="D6" s="1" t="inlineStr">
        <is>
          <t>广东广州市省仓(科捷)</t>
        </is>
      </c>
      <c r="E6" s="1" t="inlineStr">
        <is>
          <t>440</t>
        </is>
      </c>
      <c r="F6" s="2" t="inlineStr">
        <is>
          <t>4400</t>
        </is>
      </c>
      <c r="G6" s="2" t="inlineStr">
        <is>
          <t>2065</t>
        </is>
      </c>
      <c r="H6">
        <f>D6&amp;F6&amp;G6</f>
        <v/>
      </c>
      <c r="I6">
        <f>E6&amp;F6</f>
        <v/>
      </c>
      <c r="J6" s="1" t="inlineStr">
        <is>
          <t>增城省仓</t>
        </is>
      </c>
      <c r="K6">
        <f>D6&amp;F6</f>
        <v/>
      </c>
    </row>
    <row r="7" hidden="1" s="88">
      <c r="D7" s="1" t="inlineStr">
        <is>
          <t>广东广州市省仓(科捷)</t>
        </is>
      </c>
      <c r="E7" s="1" t="inlineStr">
        <is>
          <t>440</t>
        </is>
      </c>
      <c r="F7" s="2" t="inlineStr">
        <is>
          <t>4400</t>
        </is>
      </c>
      <c r="G7" s="2" t="inlineStr">
        <is>
          <t>2088</t>
        </is>
      </c>
      <c r="H7">
        <f>D7&amp;F7&amp;G7</f>
        <v/>
      </c>
      <c r="I7">
        <f>E7&amp;F7</f>
        <v/>
      </c>
      <c r="J7" s="1" t="inlineStr">
        <is>
          <t>增城省仓</t>
        </is>
      </c>
      <c r="K7">
        <f>D7&amp;F7</f>
        <v/>
      </c>
    </row>
    <row r="8" hidden="1" s="88">
      <c r="D8" s="1" t="inlineStr">
        <is>
          <t>广东广州市省仓(科捷)</t>
        </is>
      </c>
      <c r="E8" s="1" t="inlineStr">
        <is>
          <t>440</t>
        </is>
      </c>
      <c r="F8" s="2" t="inlineStr">
        <is>
          <t>4400</t>
        </is>
      </c>
      <c r="G8" s="2" t="inlineStr">
        <is>
          <t>2094</t>
        </is>
      </c>
      <c r="H8">
        <f>D8&amp;F8&amp;G8</f>
        <v/>
      </c>
      <c r="I8">
        <f>E8&amp;F8</f>
        <v/>
      </c>
      <c r="J8" s="1" t="inlineStr">
        <is>
          <t>增城省仓</t>
        </is>
      </c>
      <c r="K8">
        <f>D8&amp;F8</f>
        <v/>
      </c>
    </row>
    <row r="9" hidden="1" s="88">
      <c r="D9" s="1" t="inlineStr">
        <is>
          <t>广东广州市省仓(科捷)</t>
        </is>
      </c>
      <c r="E9" s="1" t="inlineStr">
        <is>
          <t>440</t>
        </is>
      </c>
      <c r="F9" s="2" t="inlineStr">
        <is>
          <t>4400</t>
        </is>
      </c>
      <c r="G9" s="2" t="inlineStr">
        <is>
          <t>2097</t>
        </is>
      </c>
      <c r="H9">
        <f>D9&amp;F9&amp;G9</f>
        <v/>
      </c>
      <c r="I9">
        <f>E9&amp;F9</f>
        <v/>
      </c>
      <c r="J9" s="1" t="inlineStr">
        <is>
          <t>增城省仓</t>
        </is>
      </c>
      <c r="K9">
        <f>D9&amp;F9</f>
        <v/>
      </c>
    </row>
    <row r="10" hidden="1" s="88">
      <c r="D10" s="1" t="inlineStr">
        <is>
          <t>广东广州市省仓(科捷)</t>
        </is>
      </c>
      <c r="E10" s="1" t="inlineStr">
        <is>
          <t>440</t>
        </is>
      </c>
      <c r="F10" s="2" t="inlineStr">
        <is>
          <t>4400</t>
        </is>
      </c>
      <c r="G10" s="2" t="inlineStr">
        <is>
          <t>2098</t>
        </is>
      </c>
      <c r="H10">
        <f>D10&amp;F10&amp;G10</f>
        <v/>
      </c>
      <c r="I10">
        <f>E10&amp;F10</f>
        <v/>
      </c>
      <c r="J10" s="1" t="inlineStr">
        <is>
          <t>增城省仓</t>
        </is>
      </c>
      <c r="K10">
        <f>D10&amp;F10</f>
        <v/>
      </c>
    </row>
    <row r="11" hidden="1" s="88">
      <c r="D11" s="1" t="inlineStr">
        <is>
          <t>广东广州市省仓(科捷)</t>
        </is>
      </c>
      <c r="E11" s="1" t="inlineStr">
        <is>
          <t>440</t>
        </is>
      </c>
      <c r="F11" s="2" t="inlineStr">
        <is>
          <t>4400</t>
        </is>
      </c>
      <c r="G11" s="2" t="inlineStr">
        <is>
          <t>2102</t>
        </is>
      </c>
      <c r="H11">
        <f>D11&amp;F11&amp;G11</f>
        <v/>
      </c>
      <c r="I11">
        <f>E11&amp;F11</f>
        <v/>
      </c>
      <c r="J11" s="1" t="inlineStr">
        <is>
          <t>增城省仓</t>
        </is>
      </c>
      <c r="K11">
        <f>D11&amp;F11</f>
        <v/>
      </c>
    </row>
    <row r="12" hidden="1" s="88">
      <c r="D12" s="1" t="inlineStr">
        <is>
          <t>广东广州市省仓(科捷)</t>
        </is>
      </c>
      <c r="E12" s="1" t="inlineStr">
        <is>
          <t>440</t>
        </is>
      </c>
      <c r="F12" s="2" t="inlineStr">
        <is>
          <t>4400</t>
        </is>
      </c>
      <c r="G12" s="2" t="inlineStr">
        <is>
          <t>2105</t>
        </is>
      </c>
      <c r="H12">
        <f>D12&amp;F12&amp;G12</f>
        <v/>
      </c>
      <c r="I12">
        <f>E12&amp;F12</f>
        <v/>
      </c>
      <c r="J12" s="1" t="inlineStr">
        <is>
          <t>增城省仓</t>
        </is>
      </c>
      <c r="K12">
        <f>D12&amp;F12</f>
        <v/>
      </c>
    </row>
    <row r="13" hidden="1" s="88">
      <c r="D13" s="1" t="inlineStr">
        <is>
          <t>广东广州市省仓(科捷)</t>
        </is>
      </c>
      <c r="E13" s="1" t="inlineStr">
        <is>
          <t>440</t>
        </is>
      </c>
      <c r="F13" s="2" t="inlineStr">
        <is>
          <t>4400</t>
        </is>
      </c>
      <c r="G13" s="2" t="inlineStr">
        <is>
          <t>2200</t>
        </is>
      </c>
      <c r="H13">
        <f>D13&amp;F13&amp;G13</f>
        <v/>
      </c>
      <c r="I13">
        <f>E13&amp;F13</f>
        <v/>
      </c>
      <c r="J13" s="1" t="inlineStr">
        <is>
          <t>增城省仓</t>
        </is>
      </c>
      <c r="K13">
        <f>D13&amp;F13</f>
        <v/>
      </c>
    </row>
    <row r="14" hidden="1" s="88">
      <c r="D14" s="1" t="inlineStr">
        <is>
          <t>广东广州市省仓(科捷)</t>
        </is>
      </c>
      <c r="E14" s="1" t="inlineStr">
        <is>
          <t>440</t>
        </is>
      </c>
      <c r="F14" s="2" t="inlineStr">
        <is>
          <t>4400</t>
        </is>
      </c>
      <c r="G14" s="2" t="inlineStr">
        <is>
          <t>2201</t>
        </is>
      </c>
      <c r="H14">
        <f>D14&amp;F14&amp;G14</f>
        <v/>
      </c>
      <c r="I14">
        <f>E14&amp;F14</f>
        <v/>
      </c>
      <c r="J14" s="1" t="inlineStr">
        <is>
          <t>增城省仓</t>
        </is>
      </c>
      <c r="K14">
        <f>D14&amp;F14</f>
        <v/>
      </c>
    </row>
    <row r="15" hidden="1" s="88">
      <c r="D15" s="1" t="inlineStr">
        <is>
          <t>广东广州市省仓(科捷)</t>
        </is>
      </c>
      <c r="E15" s="1" t="inlineStr">
        <is>
          <t>440</t>
        </is>
      </c>
      <c r="F15" s="2" t="inlineStr">
        <is>
          <t>4400</t>
        </is>
      </c>
      <c r="G15" s="2" t="inlineStr">
        <is>
          <t>2202</t>
        </is>
      </c>
      <c r="H15">
        <f>D15&amp;F15&amp;G15</f>
        <v/>
      </c>
      <c r="I15">
        <f>E15&amp;F15</f>
        <v/>
      </c>
      <c r="J15" s="1" t="inlineStr">
        <is>
          <t>增城省仓</t>
        </is>
      </c>
      <c r="K15">
        <f>D15&amp;F15</f>
        <v/>
      </c>
    </row>
    <row r="16" hidden="1" s="88">
      <c r="D16" s="1" t="inlineStr">
        <is>
          <t>广东广州市省仓(科捷)</t>
        </is>
      </c>
      <c r="E16" s="1" t="inlineStr">
        <is>
          <t>440</t>
        </is>
      </c>
      <c r="F16" s="2" t="inlineStr">
        <is>
          <t>4400</t>
        </is>
      </c>
      <c r="G16" s="2" t="inlineStr">
        <is>
          <t>2203</t>
        </is>
      </c>
      <c r="H16">
        <f>D16&amp;F16&amp;G16</f>
        <v/>
      </c>
      <c r="I16">
        <f>E16&amp;F16</f>
        <v/>
      </c>
      <c r="J16" s="1" t="inlineStr">
        <is>
          <t>增城省仓</t>
        </is>
      </c>
      <c r="K16">
        <f>D16&amp;F16</f>
        <v/>
      </c>
    </row>
    <row r="17" hidden="1" s="88">
      <c r="D17" s="1" t="inlineStr">
        <is>
          <t>广东广州市省仓(科捷)</t>
        </is>
      </c>
      <c r="E17" s="1" t="inlineStr">
        <is>
          <t>440</t>
        </is>
      </c>
      <c r="F17" s="2" t="inlineStr">
        <is>
          <t>4400</t>
        </is>
      </c>
      <c r="G17" s="2" t="inlineStr">
        <is>
          <t>2204</t>
        </is>
      </c>
      <c r="H17">
        <f>D17&amp;F17&amp;G17</f>
        <v/>
      </c>
      <c r="I17">
        <f>E17&amp;F17</f>
        <v/>
      </c>
      <c r="J17" s="1" t="inlineStr">
        <is>
          <t>增城省仓</t>
        </is>
      </c>
      <c r="K17">
        <f>D17&amp;F17</f>
        <v/>
      </c>
    </row>
    <row r="18" hidden="1" s="88">
      <c r="D18" s="1" t="inlineStr">
        <is>
          <t>广东广州市省仓(科捷)</t>
        </is>
      </c>
      <c r="E18" s="1" t="inlineStr">
        <is>
          <t>440</t>
        </is>
      </c>
      <c r="F18" s="2" t="inlineStr">
        <is>
          <t>4400</t>
        </is>
      </c>
      <c r="G18" s="2" t="inlineStr">
        <is>
          <t>2205</t>
        </is>
      </c>
      <c r="H18">
        <f>D18&amp;F18&amp;G18</f>
        <v/>
      </c>
      <c r="I18">
        <f>E18&amp;F18</f>
        <v/>
      </c>
      <c r="J18" s="1" t="inlineStr">
        <is>
          <t>增城省仓</t>
        </is>
      </c>
      <c r="K18">
        <f>D18&amp;F18</f>
        <v/>
      </c>
    </row>
    <row r="19" hidden="1" s="88">
      <c r="D19" s="1" t="inlineStr">
        <is>
          <t>广东广州市省仓(科捷)</t>
        </is>
      </c>
      <c r="E19" s="1" t="inlineStr">
        <is>
          <t>440</t>
        </is>
      </c>
      <c r="F19" s="2" t="inlineStr">
        <is>
          <t>4400</t>
        </is>
      </c>
      <c r="G19" s="2" t="inlineStr">
        <is>
          <t>2206</t>
        </is>
      </c>
      <c r="H19">
        <f>D19&amp;F19&amp;G19</f>
        <v/>
      </c>
      <c r="I19">
        <f>E19&amp;F19</f>
        <v/>
      </c>
      <c r="J19" s="1" t="inlineStr">
        <is>
          <t>增城省仓</t>
        </is>
      </c>
      <c r="K19">
        <f>D19&amp;F19</f>
        <v/>
      </c>
    </row>
    <row r="20" hidden="1" s="88">
      <c r="D20" s="1" t="inlineStr">
        <is>
          <t>广东广州市省仓(科捷)</t>
        </is>
      </c>
      <c r="E20" s="1" t="inlineStr">
        <is>
          <t>440</t>
        </is>
      </c>
      <c r="F20" s="2" t="inlineStr">
        <is>
          <t>4400</t>
        </is>
      </c>
      <c r="G20" s="2" t="inlineStr">
        <is>
          <t>2301</t>
        </is>
      </c>
      <c r="H20">
        <f>D20&amp;F20&amp;G20</f>
        <v/>
      </c>
      <c r="I20">
        <f>E20&amp;F20</f>
        <v/>
      </c>
      <c r="J20" s="1" t="inlineStr">
        <is>
          <t>增城省仓</t>
        </is>
      </c>
      <c r="K20">
        <f>D20&amp;F20</f>
        <v/>
      </c>
    </row>
    <row r="21" hidden="1" s="88">
      <c r="D21" s="1" t="inlineStr">
        <is>
          <t>广东广州市省仓(科捷)</t>
        </is>
      </c>
      <c r="E21" s="1" t="inlineStr">
        <is>
          <t>440</t>
        </is>
      </c>
      <c r="F21" s="2" t="inlineStr">
        <is>
          <t>4400</t>
        </is>
      </c>
      <c r="G21" s="2" t="inlineStr">
        <is>
          <t>2302</t>
        </is>
      </c>
      <c r="H21">
        <f>D21&amp;F21&amp;G21</f>
        <v/>
      </c>
      <c r="I21">
        <f>E21&amp;F21</f>
        <v/>
      </c>
      <c r="J21" s="1" t="inlineStr">
        <is>
          <t>增城省仓</t>
        </is>
      </c>
      <c r="K21">
        <f>D21&amp;F21</f>
        <v/>
      </c>
    </row>
    <row r="22" hidden="1" s="88">
      <c r="D22" s="1" t="inlineStr">
        <is>
          <t>广东广州市省仓(科捷)</t>
        </is>
      </c>
      <c r="E22" s="1" t="inlineStr">
        <is>
          <t>440</t>
        </is>
      </c>
      <c r="F22" s="2" t="inlineStr">
        <is>
          <t>4400</t>
        </is>
      </c>
      <c r="G22" s="2" t="inlineStr">
        <is>
          <t>2303</t>
        </is>
      </c>
      <c r="H22">
        <f>D22&amp;F22&amp;G22</f>
        <v/>
      </c>
      <c r="I22">
        <f>E22&amp;F22</f>
        <v/>
      </c>
      <c r="J22" s="1" t="inlineStr">
        <is>
          <t>增城省仓</t>
        </is>
      </c>
      <c r="K22">
        <f>D22&amp;F22</f>
        <v/>
      </c>
    </row>
    <row r="23" hidden="1" s="88">
      <c r="D23" s="1" t="inlineStr">
        <is>
          <t>广东广州市省仓(科捷)</t>
        </is>
      </c>
      <c r="E23" s="1" t="inlineStr">
        <is>
          <t>440</t>
        </is>
      </c>
      <c r="F23" s="2" t="inlineStr">
        <is>
          <t>4400</t>
        </is>
      </c>
      <c r="G23" s="2" t="inlineStr">
        <is>
          <t>2304</t>
        </is>
      </c>
      <c r="H23">
        <f>D23&amp;F23&amp;G23</f>
        <v/>
      </c>
      <c r="I23">
        <f>E23&amp;F23</f>
        <v/>
      </c>
      <c r="J23" s="1" t="inlineStr">
        <is>
          <t>增城省仓</t>
        </is>
      </c>
      <c r="K23">
        <f>D23&amp;F23</f>
        <v/>
      </c>
    </row>
    <row r="24" hidden="1" s="88">
      <c r="D24" s="1" t="inlineStr">
        <is>
          <t>广东广州市省仓(科捷)</t>
        </is>
      </c>
      <c r="E24" s="1" t="inlineStr">
        <is>
          <t>440</t>
        </is>
      </c>
      <c r="F24" s="2" t="inlineStr">
        <is>
          <t>4400</t>
        </is>
      </c>
      <c r="G24" s="2" t="inlineStr">
        <is>
          <t>2305</t>
        </is>
      </c>
      <c r="H24">
        <f>D24&amp;F24&amp;G24</f>
        <v/>
      </c>
      <c r="I24">
        <f>E24&amp;F24</f>
        <v/>
      </c>
      <c r="J24" s="1" t="inlineStr">
        <is>
          <t>增城省仓</t>
        </is>
      </c>
      <c r="K24">
        <f>D24&amp;F24</f>
        <v/>
      </c>
    </row>
    <row r="25" hidden="1" s="88">
      <c r="D25" s="1" t="inlineStr">
        <is>
          <t>广东广州市省仓(科捷)</t>
        </is>
      </c>
      <c r="E25" s="1" t="inlineStr">
        <is>
          <t>440</t>
        </is>
      </c>
      <c r="F25" s="2" t="inlineStr">
        <is>
          <t>4400</t>
        </is>
      </c>
      <c r="G25" s="2" t="inlineStr">
        <is>
          <t>2306</t>
        </is>
      </c>
      <c r="H25">
        <f>D25&amp;F25&amp;G25</f>
        <v/>
      </c>
      <c r="I25">
        <f>E25&amp;F25</f>
        <v/>
      </c>
      <c r="J25" s="1" t="inlineStr">
        <is>
          <t>增城省仓</t>
        </is>
      </c>
      <c r="K25">
        <f>D25&amp;F25</f>
        <v/>
      </c>
    </row>
    <row r="26" hidden="1" s="88">
      <c r="D26" s="1" t="inlineStr">
        <is>
          <t>广东广州市省仓(科捷)</t>
        </is>
      </c>
      <c r="E26" s="1" t="inlineStr">
        <is>
          <t>440</t>
        </is>
      </c>
      <c r="F26" s="2" t="inlineStr">
        <is>
          <t>4400</t>
        </is>
      </c>
      <c r="G26" s="2" t="inlineStr">
        <is>
          <t>2322</t>
        </is>
      </c>
      <c r="H26">
        <f>D26&amp;F26&amp;G26</f>
        <v/>
      </c>
      <c r="I26">
        <f>E26&amp;F26</f>
        <v/>
      </c>
      <c r="J26" s="1" t="inlineStr">
        <is>
          <t>增城省仓</t>
        </is>
      </c>
      <c r="K26">
        <f>D26&amp;F26</f>
        <v/>
      </c>
    </row>
    <row r="27" hidden="1" s="88">
      <c r="D27" s="1" t="inlineStr">
        <is>
          <t>广东广州市省仓(科捷)</t>
        </is>
      </c>
      <c r="E27" s="1" t="inlineStr">
        <is>
          <t>440</t>
        </is>
      </c>
      <c r="F27" s="2" t="inlineStr">
        <is>
          <t>4400</t>
        </is>
      </c>
      <c r="G27" s="2" t="inlineStr">
        <is>
          <t>2331</t>
        </is>
      </c>
      <c r="H27">
        <f>D27&amp;F27&amp;G27</f>
        <v/>
      </c>
      <c r="I27">
        <f>E27&amp;F27</f>
        <v/>
      </c>
      <c r="J27" s="1" t="inlineStr">
        <is>
          <t>增城省仓</t>
        </is>
      </c>
      <c r="K27">
        <f>D27&amp;F27</f>
        <v/>
      </c>
    </row>
    <row r="28" hidden="1" s="88">
      <c r="D28" s="1" t="inlineStr">
        <is>
          <t>广东广州市省仓(科捷)</t>
        </is>
      </c>
      <c r="E28" s="1" t="inlineStr">
        <is>
          <t>440</t>
        </is>
      </c>
      <c r="F28" s="2" t="inlineStr">
        <is>
          <t>4400</t>
        </is>
      </c>
      <c r="G28" s="2" t="inlineStr">
        <is>
          <t>2335</t>
        </is>
      </c>
      <c r="H28">
        <f>D28&amp;F28&amp;G28</f>
        <v/>
      </c>
      <c r="I28">
        <f>E28&amp;F28</f>
        <v/>
      </c>
      <c r="J28" s="1" t="inlineStr">
        <is>
          <t>增城省仓</t>
        </is>
      </c>
      <c r="K28">
        <f>D28&amp;F28</f>
        <v/>
      </c>
    </row>
    <row r="29" hidden="1" s="88">
      <c r="D29" s="1" t="inlineStr">
        <is>
          <t>广东广州市省仓(科捷)</t>
        </is>
      </c>
      <c r="E29" s="1" t="inlineStr">
        <is>
          <t>440</t>
        </is>
      </c>
      <c r="F29" s="2" t="inlineStr">
        <is>
          <t>4400</t>
        </is>
      </c>
      <c r="G29" s="2" t="inlineStr">
        <is>
          <t>2336</t>
        </is>
      </c>
      <c r="H29">
        <f>D29&amp;F29&amp;G29</f>
        <v/>
      </c>
      <c r="I29">
        <f>E29&amp;F29</f>
        <v/>
      </c>
      <c r="J29" s="1" t="inlineStr">
        <is>
          <t>增城省仓</t>
        </is>
      </c>
      <c r="K29">
        <f>D29&amp;F29</f>
        <v/>
      </c>
    </row>
    <row r="30" hidden="1" s="88">
      <c r="D30" s="1" t="inlineStr">
        <is>
          <t>广东广州市省仓(科捷)</t>
        </is>
      </c>
      <c r="E30" s="1" t="inlineStr">
        <is>
          <t>440</t>
        </is>
      </c>
      <c r="F30" s="2" t="inlineStr">
        <is>
          <t>4400</t>
        </is>
      </c>
      <c r="G30" s="2" t="inlineStr">
        <is>
          <t>2337</t>
        </is>
      </c>
      <c r="H30">
        <f>D30&amp;F30&amp;G30</f>
        <v/>
      </c>
      <c r="I30">
        <f>E30&amp;F30</f>
        <v/>
      </c>
      <c r="J30" s="1" t="inlineStr">
        <is>
          <t>增城省仓</t>
        </is>
      </c>
      <c r="K30">
        <f>D30&amp;F30</f>
        <v/>
      </c>
    </row>
    <row r="31" hidden="1" s="88">
      <c r="D31" s="1" t="inlineStr">
        <is>
          <t>广东广州市省仓(科捷)</t>
        </is>
      </c>
      <c r="E31" s="1" t="inlineStr">
        <is>
          <t>440</t>
        </is>
      </c>
      <c r="F31" s="2" t="inlineStr">
        <is>
          <t>4400</t>
        </is>
      </c>
      <c r="G31" s="2" t="inlineStr">
        <is>
          <t>2338</t>
        </is>
      </c>
      <c r="H31">
        <f>D31&amp;F31&amp;G31</f>
        <v/>
      </c>
      <c r="I31">
        <f>E31&amp;F31</f>
        <v/>
      </c>
      <c r="J31" s="1" t="inlineStr">
        <is>
          <t>增城省仓</t>
        </is>
      </c>
      <c r="K31">
        <f>D31&amp;F31</f>
        <v/>
      </c>
    </row>
    <row r="32" hidden="1" s="88">
      <c r="D32" s="1" t="inlineStr">
        <is>
          <t>广东广州市省仓(科捷)</t>
        </is>
      </c>
      <c r="E32" s="1" t="inlineStr">
        <is>
          <t>440</t>
        </is>
      </c>
      <c r="F32" s="2" t="inlineStr">
        <is>
          <t>4400</t>
        </is>
      </c>
      <c r="G32" s="2" t="inlineStr">
        <is>
          <t>2339</t>
        </is>
      </c>
      <c r="H32">
        <f>D32&amp;F32&amp;G32</f>
        <v/>
      </c>
      <c r="I32">
        <f>E32&amp;F32</f>
        <v/>
      </c>
      <c r="J32" s="1" t="inlineStr">
        <is>
          <t>增城省仓</t>
        </is>
      </c>
      <c r="K32">
        <f>D32&amp;F32</f>
        <v/>
      </c>
    </row>
    <row r="33" hidden="1" s="88">
      <c r="D33" s="1" t="inlineStr">
        <is>
          <t>广东广州市省仓(科捷)</t>
        </is>
      </c>
      <c r="E33" s="1" t="inlineStr">
        <is>
          <t>440</t>
        </is>
      </c>
      <c r="F33" s="2" t="inlineStr">
        <is>
          <t>4400</t>
        </is>
      </c>
      <c r="G33" s="2" t="inlineStr">
        <is>
          <t>2340</t>
        </is>
      </c>
      <c r="H33">
        <f>D33&amp;F33&amp;G33</f>
        <v/>
      </c>
      <c r="I33">
        <f>E33&amp;F33</f>
        <v/>
      </c>
      <c r="J33" s="1" t="inlineStr">
        <is>
          <t>增城省仓</t>
        </is>
      </c>
      <c r="K33">
        <f>D33&amp;F33</f>
        <v/>
      </c>
    </row>
    <row r="34" hidden="1" s="88">
      <c r="D34" s="1" t="inlineStr">
        <is>
          <t>广东广州市省仓(科捷)</t>
        </is>
      </c>
      <c r="E34" s="1" t="inlineStr">
        <is>
          <t>440</t>
        </is>
      </c>
      <c r="F34" s="2" t="inlineStr">
        <is>
          <t>4400</t>
        </is>
      </c>
      <c r="G34" s="2" t="inlineStr">
        <is>
          <t>2349</t>
        </is>
      </c>
      <c r="H34">
        <f>D34&amp;F34&amp;G34</f>
        <v/>
      </c>
      <c r="I34">
        <f>E34&amp;F34</f>
        <v/>
      </c>
      <c r="J34" s="1" t="inlineStr">
        <is>
          <t>增城省仓</t>
        </is>
      </c>
      <c r="K34">
        <f>D34&amp;F34</f>
        <v/>
      </c>
    </row>
    <row r="35" hidden="1" s="88">
      <c r="D35" s="1" t="inlineStr">
        <is>
          <t>广东广州市省仓(科捷)</t>
        </is>
      </c>
      <c r="E35" s="1" t="inlineStr">
        <is>
          <t>440</t>
        </is>
      </c>
      <c r="F35" s="2" t="inlineStr">
        <is>
          <t>4400</t>
        </is>
      </c>
      <c r="G35" s="2" t="inlineStr">
        <is>
          <t>2350</t>
        </is>
      </c>
      <c r="H35">
        <f>D35&amp;F35&amp;G35</f>
        <v/>
      </c>
      <c r="I35">
        <f>E35&amp;F35</f>
        <v/>
      </c>
      <c r="J35" s="1" t="inlineStr">
        <is>
          <t>增城省仓</t>
        </is>
      </c>
      <c r="K35">
        <f>D35&amp;F35</f>
        <v/>
      </c>
    </row>
    <row r="36" hidden="1" s="88">
      <c r="D36" s="1" t="inlineStr">
        <is>
          <t>广东广州市省仓(科捷)</t>
        </is>
      </c>
      <c r="E36" s="1" t="inlineStr">
        <is>
          <t>440</t>
        </is>
      </c>
      <c r="F36" s="2" t="inlineStr">
        <is>
          <t>4400</t>
        </is>
      </c>
      <c r="G36" s="2" t="inlineStr">
        <is>
          <t>2351</t>
        </is>
      </c>
      <c r="H36">
        <f>D36&amp;F36&amp;G36</f>
        <v/>
      </c>
      <c r="I36">
        <f>E36&amp;F36</f>
        <v/>
      </c>
      <c r="J36" s="1" t="inlineStr">
        <is>
          <t>增城省仓</t>
        </is>
      </c>
      <c r="K36">
        <f>D36&amp;F36</f>
        <v/>
      </c>
    </row>
    <row r="37" hidden="1" s="88">
      <c r="D37" s="1" t="inlineStr">
        <is>
          <t>广东广州市省仓(科捷)</t>
        </is>
      </c>
      <c r="E37" s="1" t="inlineStr">
        <is>
          <t>440</t>
        </is>
      </c>
      <c r="F37" s="2" t="inlineStr">
        <is>
          <t>4400</t>
        </is>
      </c>
      <c r="G37" s="2" t="inlineStr">
        <is>
          <t>2352</t>
        </is>
      </c>
      <c r="H37">
        <f>D37&amp;F37&amp;G37</f>
        <v/>
      </c>
      <c r="I37">
        <f>E37&amp;F37</f>
        <v/>
      </c>
      <c r="J37" s="1" t="inlineStr">
        <is>
          <t>增城省仓</t>
        </is>
      </c>
      <c r="K37">
        <f>D37&amp;F37</f>
        <v/>
      </c>
    </row>
    <row r="38" hidden="1" s="88">
      <c r="D38" s="1" t="inlineStr">
        <is>
          <t>广东广州市省仓(科捷)</t>
        </is>
      </c>
      <c r="E38" s="1" t="inlineStr">
        <is>
          <t>440</t>
        </is>
      </c>
      <c r="F38" s="2" t="inlineStr">
        <is>
          <t>4400</t>
        </is>
      </c>
      <c r="G38" s="2" t="inlineStr">
        <is>
          <t>2356</t>
        </is>
      </c>
      <c r="H38">
        <f>D38&amp;F38&amp;G38</f>
        <v/>
      </c>
      <c r="I38">
        <f>E38&amp;F38</f>
        <v/>
      </c>
      <c r="J38" s="1" t="inlineStr">
        <is>
          <t>增城省仓</t>
        </is>
      </c>
      <c r="K38">
        <f>D38&amp;F38</f>
        <v/>
      </c>
    </row>
    <row r="39" hidden="1" s="88">
      <c r="D39" s="1" t="inlineStr">
        <is>
          <t>广东广州市省仓(科捷)</t>
        </is>
      </c>
      <c r="E39" s="1" t="inlineStr">
        <is>
          <t>440</t>
        </is>
      </c>
      <c r="F39" s="2" t="inlineStr">
        <is>
          <t>4400</t>
        </is>
      </c>
      <c r="G39" s="2" t="inlineStr">
        <is>
          <t>2357</t>
        </is>
      </c>
      <c r="H39">
        <f>D39&amp;F39&amp;G39</f>
        <v/>
      </c>
      <c r="I39">
        <f>E39&amp;F39</f>
        <v/>
      </c>
      <c r="J39" s="1" t="inlineStr">
        <is>
          <t>增城省仓</t>
        </is>
      </c>
      <c r="K39">
        <f>D39&amp;F39</f>
        <v/>
      </c>
    </row>
    <row r="40" hidden="1" s="88">
      <c r="D40" s="1" t="inlineStr">
        <is>
          <t>广东广州市省仓(科捷)</t>
        </is>
      </c>
      <c r="E40" s="1" t="inlineStr">
        <is>
          <t>440</t>
        </is>
      </c>
      <c r="F40" s="2" t="inlineStr">
        <is>
          <t>4400</t>
        </is>
      </c>
      <c r="G40" s="2" t="inlineStr">
        <is>
          <t>2362</t>
        </is>
      </c>
      <c r="H40">
        <f>D40&amp;F40&amp;G40</f>
        <v/>
      </c>
      <c r="I40">
        <f>E40&amp;F40</f>
        <v/>
      </c>
      <c r="J40" s="1" t="inlineStr">
        <is>
          <t>增城省仓</t>
        </is>
      </c>
      <c r="K40">
        <f>D40&amp;F40</f>
        <v/>
      </c>
    </row>
    <row r="41" hidden="1" s="88">
      <c r="D41" s="1" t="inlineStr">
        <is>
          <t>广东广州市省仓(科捷)</t>
        </is>
      </c>
      <c r="E41" s="1" t="inlineStr">
        <is>
          <t>440</t>
        </is>
      </c>
      <c r="F41" s="2" t="inlineStr">
        <is>
          <t>4400</t>
        </is>
      </c>
      <c r="G41" s="2" t="inlineStr">
        <is>
          <t>S202</t>
        </is>
      </c>
      <c r="H41">
        <f>D41&amp;F41&amp;G41</f>
        <v/>
      </c>
      <c r="I41">
        <f>E41&amp;F41</f>
        <v/>
      </c>
      <c r="J41" s="1" t="inlineStr">
        <is>
          <t>增城省仓</t>
        </is>
      </c>
      <c r="K41">
        <f>D41&amp;F41</f>
        <v/>
      </c>
    </row>
    <row r="42" hidden="1" s="88">
      <c r="D42" s="1" t="inlineStr">
        <is>
          <t>广东华为品牌专仓(科捷)</t>
        </is>
      </c>
      <c r="E42" s="1" t="inlineStr">
        <is>
          <t>447</t>
        </is>
      </c>
      <c r="F42" s="2" t="inlineStr">
        <is>
          <t>4400</t>
        </is>
      </c>
      <c r="G42" s="2" t="inlineStr">
        <is>
          <t>2354</t>
        </is>
      </c>
      <c r="H42">
        <f>D42&amp;F42&amp;G42</f>
        <v/>
      </c>
      <c r="I42">
        <f>E42&amp;F42</f>
        <v/>
      </c>
      <c r="J42" s="1" t="inlineStr">
        <is>
          <t>夏茅省仓</t>
        </is>
      </c>
      <c r="K42">
        <f>D42&amp;F42</f>
        <v/>
      </c>
    </row>
    <row r="43" hidden="1" s="88">
      <c r="D43" s="1" t="inlineStr">
        <is>
          <t>广东华为品牌专仓(科捷)</t>
        </is>
      </c>
      <c r="E43" s="1" t="inlineStr">
        <is>
          <t>447</t>
        </is>
      </c>
      <c r="F43" s="2" t="inlineStr">
        <is>
          <t>4400</t>
        </is>
      </c>
      <c r="G43" s="2" t="inlineStr">
        <is>
          <t>2355</t>
        </is>
      </c>
      <c r="H43">
        <f>D43&amp;F43&amp;G43</f>
        <v/>
      </c>
      <c r="I43">
        <f>E43&amp;F43</f>
        <v/>
      </c>
      <c r="J43" s="1" t="inlineStr">
        <is>
          <t>夏茅省仓</t>
        </is>
      </c>
      <c r="K43">
        <f>D43&amp;F43</f>
        <v/>
      </c>
    </row>
    <row r="44" hidden="1" s="88">
      <c r="D44" s="1" t="inlineStr">
        <is>
          <t>广东华为品牌专仓(科捷)</t>
        </is>
      </c>
      <c r="E44" s="1" t="inlineStr">
        <is>
          <t>447</t>
        </is>
      </c>
      <c r="F44" s="2" t="inlineStr">
        <is>
          <t>4400</t>
        </is>
      </c>
      <c r="G44" s="2" t="inlineStr">
        <is>
          <t>2363</t>
        </is>
      </c>
      <c r="H44">
        <f>D44&amp;F44&amp;G44</f>
        <v/>
      </c>
      <c r="I44">
        <f>E44&amp;F44</f>
        <v/>
      </c>
      <c r="J44" s="1" t="inlineStr">
        <is>
          <t>夏茅省仓</t>
        </is>
      </c>
      <c r="K44">
        <f>D44&amp;F44</f>
        <v/>
      </c>
    </row>
    <row r="45" hidden="1" s="88">
      <c r="D45" s="1" t="inlineStr">
        <is>
          <t>终端公司互联网(广东)(科捷)</t>
        </is>
      </c>
      <c r="E45" s="1" t="inlineStr">
        <is>
          <t>441</t>
        </is>
      </c>
      <c r="F45" s="2" t="inlineStr">
        <is>
          <t>1000</t>
        </is>
      </c>
      <c r="G45" s="2" t="inlineStr">
        <is>
          <t>2209</t>
        </is>
      </c>
      <c r="H45">
        <f>D45&amp;F45&amp;G45</f>
        <v/>
      </c>
      <c r="I45">
        <f>E45&amp;F45</f>
        <v/>
      </c>
      <c r="J45" s="1" t="inlineStr">
        <is>
          <t>互联网中心仓</t>
        </is>
      </c>
      <c r="K45">
        <f>D45&amp;F45</f>
        <v/>
      </c>
    </row>
    <row r="46" hidden="1" s="88">
      <c r="D46" s="1" t="inlineStr">
        <is>
          <t>终端公司互联网(广东)(科捷)</t>
        </is>
      </c>
      <c r="E46" s="1" t="inlineStr">
        <is>
          <t>441</t>
        </is>
      </c>
      <c r="F46" s="2" t="inlineStr">
        <is>
          <t>1000</t>
        </is>
      </c>
      <c r="G46" s="2" t="inlineStr">
        <is>
          <t>2210</t>
        </is>
      </c>
      <c r="H46">
        <f>D46&amp;F46&amp;G46</f>
        <v/>
      </c>
      <c r="I46">
        <f>E46&amp;F46</f>
        <v/>
      </c>
      <c r="J46" s="1" t="inlineStr">
        <is>
          <t>互联网中心仓</t>
        </is>
      </c>
      <c r="K46">
        <f>D46&amp;F46</f>
        <v/>
      </c>
    </row>
    <row r="47" hidden="1" s="88">
      <c r="D47" s="1" t="inlineStr">
        <is>
          <t>终端公司互联网(广东)(科捷)</t>
        </is>
      </c>
      <c r="E47" s="1" t="inlineStr">
        <is>
          <t>441</t>
        </is>
      </c>
      <c r="F47" s="2" t="inlineStr">
        <is>
          <t>4410</t>
        </is>
      </c>
      <c r="G47" s="2" t="inlineStr">
        <is>
          <t>2001</t>
        </is>
      </c>
      <c r="H47">
        <f>D47&amp;F47&amp;G47</f>
        <v/>
      </c>
      <c r="I47">
        <f>E47&amp;F47</f>
        <v/>
      </c>
      <c r="J47" s="1" t="inlineStr">
        <is>
          <t>互联网省仓</t>
        </is>
      </c>
      <c r="K47">
        <f>D47&amp;F47</f>
        <v/>
      </c>
    </row>
    <row r="48" hidden="1" s="88">
      <c r="D48" s="1" t="inlineStr">
        <is>
          <t>终端公司互联网(广东)(科捷)</t>
        </is>
      </c>
      <c r="E48" s="1" t="inlineStr">
        <is>
          <t>441</t>
        </is>
      </c>
      <c r="F48" s="2" t="inlineStr">
        <is>
          <t>4410</t>
        </is>
      </c>
      <c r="G48" s="2" t="inlineStr">
        <is>
          <t>2006</t>
        </is>
      </c>
      <c r="H48">
        <f>D48&amp;F48&amp;G48</f>
        <v/>
      </c>
      <c r="I48">
        <f>E48&amp;F48</f>
        <v/>
      </c>
      <c r="J48" s="1" t="inlineStr">
        <is>
          <t>互联网省仓</t>
        </is>
      </c>
      <c r="K48">
        <f>D48&amp;F48</f>
        <v/>
      </c>
    </row>
    <row r="49" hidden="1" s="88">
      <c r="D49" s="1" t="inlineStr">
        <is>
          <t>终端公司互联网(广东)(科捷)</t>
        </is>
      </c>
      <c r="E49" s="1" t="inlineStr">
        <is>
          <t>441</t>
        </is>
      </c>
      <c r="F49" s="2" t="inlineStr">
        <is>
          <t>4410</t>
        </is>
      </c>
      <c r="G49" s="2" t="inlineStr">
        <is>
          <t>2008</t>
        </is>
      </c>
      <c r="H49">
        <f>D49&amp;F49&amp;G49</f>
        <v/>
      </c>
      <c r="I49">
        <f>E49&amp;F49</f>
        <v/>
      </c>
      <c r="J49" s="1" t="inlineStr">
        <is>
          <t>互联网省仓</t>
        </is>
      </c>
      <c r="K49">
        <f>D49&amp;F49</f>
        <v/>
      </c>
    </row>
    <row r="50" hidden="1" s="88">
      <c r="D50" s="1" t="inlineStr">
        <is>
          <t>终端公司互联网(广东)(科捷)</t>
        </is>
      </c>
      <c r="E50" s="1" t="inlineStr">
        <is>
          <t>441</t>
        </is>
      </c>
      <c r="F50" s="2" t="inlineStr">
        <is>
          <t>4410</t>
        </is>
      </c>
      <c r="G50" s="2" t="inlineStr">
        <is>
          <t>2010</t>
        </is>
      </c>
      <c r="H50">
        <f>D50&amp;F50&amp;G50</f>
        <v/>
      </c>
      <c r="I50">
        <f>E50&amp;F50</f>
        <v/>
      </c>
      <c r="J50" s="1" t="inlineStr">
        <is>
          <t>互联网省仓</t>
        </is>
      </c>
      <c r="K50">
        <f>D50&amp;F50</f>
        <v/>
      </c>
    </row>
    <row r="51" hidden="1" s="88">
      <c r="D51" s="1" t="inlineStr">
        <is>
          <t>终端公司互联网(广东)(科捷)</t>
        </is>
      </c>
      <c r="E51" s="1" t="inlineStr">
        <is>
          <t>441</t>
        </is>
      </c>
      <c r="F51" s="2" t="inlineStr">
        <is>
          <t>4410</t>
        </is>
      </c>
      <c r="G51" s="2" t="inlineStr">
        <is>
          <t>2012</t>
        </is>
      </c>
      <c r="H51">
        <f>D51&amp;F51&amp;G51</f>
        <v/>
      </c>
      <c r="I51">
        <f>E51&amp;F51</f>
        <v/>
      </c>
      <c r="J51" s="1" t="inlineStr">
        <is>
          <t>互联网省仓</t>
        </is>
      </c>
      <c r="K51">
        <f>D51&amp;F51</f>
        <v/>
      </c>
    </row>
    <row r="52" hidden="1" s="88">
      <c r="D52" s="1" t="inlineStr">
        <is>
          <t>终端公司互联网(广东)(科捷)</t>
        </is>
      </c>
      <c r="E52" s="1" t="inlineStr">
        <is>
          <t>441</t>
        </is>
      </c>
      <c r="F52" s="2" t="inlineStr">
        <is>
          <t>4410</t>
        </is>
      </c>
      <c r="G52" s="2" t="inlineStr">
        <is>
          <t>2014</t>
        </is>
      </c>
      <c r="H52">
        <f>D52&amp;F52&amp;G52</f>
        <v/>
      </c>
      <c r="I52">
        <f>E52&amp;F52</f>
        <v/>
      </c>
      <c r="J52" s="1" t="inlineStr">
        <is>
          <t>互联网省仓</t>
        </is>
      </c>
      <c r="K52">
        <f>D52&amp;F52</f>
        <v/>
      </c>
    </row>
    <row r="53" hidden="1" s="88">
      <c r="D53" s="1" t="inlineStr">
        <is>
          <t>终端公司互联网(广东)(科捷)</t>
        </is>
      </c>
      <c r="E53" s="1" t="inlineStr">
        <is>
          <t>441</t>
        </is>
      </c>
      <c r="F53" s="2" t="inlineStr">
        <is>
          <t>4410</t>
        </is>
      </c>
      <c r="G53" s="2" t="inlineStr">
        <is>
          <t>2015</t>
        </is>
      </c>
      <c r="H53">
        <f>D53&amp;F53&amp;G53</f>
        <v/>
      </c>
      <c r="I53">
        <f>E53&amp;F53</f>
        <v/>
      </c>
      <c r="J53" s="1" t="inlineStr">
        <is>
          <t>互联网省仓</t>
        </is>
      </c>
      <c r="K53">
        <f>D53&amp;F53</f>
        <v/>
      </c>
    </row>
    <row r="54" hidden="1" s="88">
      <c r="D54" s="1" t="inlineStr">
        <is>
          <t>终端公司互联网(广东)(科捷)</t>
        </is>
      </c>
      <c r="E54" s="1" t="inlineStr">
        <is>
          <t>441</t>
        </is>
      </c>
      <c r="F54" s="2" t="inlineStr">
        <is>
          <t>4410</t>
        </is>
      </c>
      <c r="G54" s="2" t="inlineStr">
        <is>
          <t>2017</t>
        </is>
      </c>
      <c r="H54">
        <f>D54&amp;F54&amp;G54</f>
        <v/>
      </c>
      <c r="I54">
        <f>E54&amp;F54</f>
        <v/>
      </c>
      <c r="J54" s="1" t="inlineStr">
        <is>
          <t>互联网省仓</t>
        </is>
      </c>
      <c r="K54">
        <f>D54&amp;F54</f>
        <v/>
      </c>
    </row>
    <row r="55" hidden="1" s="88">
      <c r="D55" s="1" t="inlineStr">
        <is>
          <t>终端公司互联网(广东)(科捷)</t>
        </is>
      </c>
      <c r="E55" s="1" t="inlineStr">
        <is>
          <t>441</t>
        </is>
      </c>
      <c r="F55" s="2" t="inlineStr">
        <is>
          <t>4410</t>
        </is>
      </c>
      <c r="G55" s="2" t="inlineStr">
        <is>
          <t>2018</t>
        </is>
      </c>
      <c r="H55">
        <f>D55&amp;F55&amp;G55</f>
        <v/>
      </c>
      <c r="I55">
        <f>E55&amp;F55</f>
        <v/>
      </c>
      <c r="J55" s="1" t="inlineStr">
        <is>
          <t>互联网省仓</t>
        </is>
      </c>
      <c r="K55">
        <f>D55&amp;F55</f>
        <v/>
      </c>
    </row>
    <row r="56" hidden="1" s="88">
      <c r="D56" s="1" t="inlineStr">
        <is>
          <t>终端公司互联网(广东)(科捷)</t>
        </is>
      </c>
      <c r="E56" s="1" t="inlineStr">
        <is>
          <t>441</t>
        </is>
      </c>
      <c r="F56" s="2" t="inlineStr">
        <is>
          <t>4410</t>
        </is>
      </c>
      <c r="G56" s="2" t="inlineStr">
        <is>
          <t>2019</t>
        </is>
      </c>
      <c r="H56">
        <f>D56&amp;F56&amp;G56</f>
        <v/>
      </c>
      <c r="I56">
        <f>E56&amp;F56</f>
        <v/>
      </c>
      <c r="J56" s="1" t="inlineStr">
        <is>
          <t>互联网省仓</t>
        </is>
      </c>
      <c r="K56">
        <f>D56&amp;F56</f>
        <v/>
      </c>
    </row>
    <row r="57" hidden="1" s="88">
      <c r="D57" s="1" t="inlineStr">
        <is>
          <t>终端公司互联网(广东)(科捷)</t>
        </is>
      </c>
      <c r="E57" s="1" t="inlineStr">
        <is>
          <t>441</t>
        </is>
      </c>
      <c r="F57" s="2" t="inlineStr">
        <is>
          <t>4410</t>
        </is>
      </c>
      <c r="G57" s="2" t="inlineStr">
        <is>
          <t>2020</t>
        </is>
      </c>
      <c r="H57">
        <f>D57&amp;F57&amp;G57</f>
        <v/>
      </c>
      <c r="I57">
        <f>E57&amp;F57</f>
        <v/>
      </c>
      <c r="J57" s="1" t="inlineStr">
        <is>
          <t>互联网省仓</t>
        </is>
      </c>
      <c r="K57">
        <f>D57&amp;F57</f>
        <v/>
      </c>
    </row>
    <row r="58" hidden="1" s="88">
      <c r="D58" s="1" t="inlineStr">
        <is>
          <t>终端公司互联网(广东)(科捷)</t>
        </is>
      </c>
      <c r="E58" s="1" t="inlineStr">
        <is>
          <t>441</t>
        </is>
      </c>
      <c r="F58" s="2" t="inlineStr">
        <is>
          <t>4410</t>
        </is>
      </c>
      <c r="G58" s="2" t="inlineStr">
        <is>
          <t>2032</t>
        </is>
      </c>
      <c r="H58">
        <f>D58&amp;F58&amp;G58</f>
        <v/>
      </c>
      <c r="I58">
        <f>E58&amp;F58</f>
        <v/>
      </c>
      <c r="J58" s="1" t="inlineStr">
        <is>
          <t>互联网省仓</t>
        </is>
      </c>
      <c r="K58">
        <f>D58&amp;F58</f>
        <v/>
      </c>
    </row>
    <row r="59" hidden="1" s="88">
      <c r="D59" s="1" t="inlineStr">
        <is>
          <t>终端公司互联网(广东)(科捷)</t>
        </is>
      </c>
      <c r="E59" s="1" t="inlineStr">
        <is>
          <t>441</t>
        </is>
      </c>
      <c r="F59" s="2" t="inlineStr">
        <is>
          <t>4410</t>
        </is>
      </c>
      <c r="G59" s="2" t="inlineStr">
        <is>
          <t>2033</t>
        </is>
      </c>
      <c r="H59">
        <f>D59&amp;F59&amp;G59</f>
        <v/>
      </c>
      <c r="I59">
        <f>E59&amp;F59</f>
        <v/>
      </c>
      <c r="J59" s="1" t="inlineStr">
        <is>
          <t>互联网省仓</t>
        </is>
      </c>
      <c r="K59">
        <f>D59&amp;F59</f>
        <v/>
      </c>
    </row>
    <row r="60" hidden="1" s="88">
      <c r="D60" s="1" t="inlineStr">
        <is>
          <t>终端公司互联网(广东)(科捷)</t>
        </is>
      </c>
      <c r="E60" s="1" t="inlineStr">
        <is>
          <t>441</t>
        </is>
      </c>
      <c r="F60" s="2" t="inlineStr">
        <is>
          <t>4410</t>
        </is>
      </c>
      <c r="G60" s="2" t="inlineStr">
        <is>
          <t>S201</t>
        </is>
      </c>
      <c r="H60">
        <f>D60&amp;F60&amp;G60</f>
        <v/>
      </c>
      <c r="I60">
        <f>E60&amp;F60</f>
        <v/>
      </c>
      <c r="J60" s="1" t="inlineStr">
        <is>
          <t>互联网省仓</t>
        </is>
      </c>
      <c r="K60">
        <f>D60&amp;F60</f>
        <v/>
      </c>
    </row>
    <row r="61" hidden="1" s="88">
      <c r="D61" s="1" t="inlineStr">
        <is>
          <t>终端公司互联网(广东)(科捷)</t>
        </is>
      </c>
      <c r="E61" s="1" t="inlineStr">
        <is>
          <t>441</t>
        </is>
      </c>
      <c r="F61" s="2" t="inlineStr">
        <is>
          <t>4410</t>
        </is>
      </c>
      <c r="G61" s="2" t="inlineStr">
        <is>
          <t>S203</t>
        </is>
      </c>
      <c r="H61">
        <f>D61&amp;F61&amp;G61</f>
        <v/>
      </c>
      <c r="I61">
        <f>E61&amp;F61</f>
        <v/>
      </c>
      <c r="J61" s="1" t="inlineStr">
        <is>
          <t>互联网省仓</t>
        </is>
      </c>
      <c r="K61">
        <f>D61&amp;F61</f>
        <v/>
      </c>
    </row>
    <row r="62" hidden="1" s="88">
      <c r="D62" s="1" t="inlineStr">
        <is>
          <t>终端公司互联网(广东)(科捷)</t>
        </is>
      </c>
      <c r="E62" s="1" t="inlineStr">
        <is>
          <t>441</t>
        </is>
      </c>
      <c r="F62" s="2" t="inlineStr">
        <is>
          <t>4460</t>
        </is>
      </c>
      <c r="G62" s="2" t="inlineStr">
        <is>
          <t>2001</t>
        </is>
      </c>
      <c r="H62">
        <f>D62&amp;F62&amp;G62</f>
        <v/>
      </c>
      <c r="I62">
        <f>E62&amp;F62</f>
        <v/>
      </c>
      <c r="J62" s="1" t="inlineStr">
        <is>
          <t>互联网省仓</t>
        </is>
      </c>
      <c r="K62">
        <f>D62&amp;F62</f>
        <v/>
      </c>
    </row>
    <row r="63" hidden="1" s="88">
      <c r="D63" s="1" t="inlineStr">
        <is>
          <t>终端公司互联网(广东)(科捷)</t>
        </is>
      </c>
      <c r="E63" s="1" t="inlineStr">
        <is>
          <t>441</t>
        </is>
      </c>
      <c r="F63" s="2" t="inlineStr">
        <is>
          <t>4460</t>
        </is>
      </c>
      <c r="G63" s="2" t="inlineStr">
        <is>
          <t>2006</t>
        </is>
      </c>
      <c r="H63">
        <f>D63&amp;F63&amp;G63</f>
        <v/>
      </c>
      <c r="I63">
        <f>E63&amp;F63</f>
        <v/>
      </c>
      <c r="J63" s="1" t="inlineStr">
        <is>
          <t>互联网省仓</t>
        </is>
      </c>
      <c r="K63">
        <f>D63&amp;F63</f>
        <v/>
      </c>
    </row>
    <row r="64" hidden="1" s="88">
      <c r="D64" s="2" t="inlineStr">
        <is>
          <t>终端公司互联网(广东)(科捷)</t>
        </is>
      </c>
      <c r="E64" s="1" t="inlineStr">
        <is>
          <t>441</t>
        </is>
      </c>
      <c r="F64" s="2" t="inlineStr">
        <is>
          <t>4460</t>
        </is>
      </c>
      <c r="G64" s="2" t="inlineStr">
        <is>
          <t>2014</t>
        </is>
      </c>
      <c r="H64">
        <f>D64&amp;F64&amp;G64</f>
        <v/>
      </c>
      <c r="I64">
        <f>E64&amp;F64</f>
        <v/>
      </c>
      <c r="J64" s="1" t="inlineStr">
        <is>
          <t>互联网省仓</t>
        </is>
      </c>
      <c r="K64">
        <f>D64&amp;F64</f>
        <v/>
      </c>
    </row>
    <row r="65" hidden="1" s="88">
      <c r="D65" s="2" t="inlineStr">
        <is>
          <t>终端公司互联网(广东)(科捷)</t>
        </is>
      </c>
      <c r="E65" s="1" t="inlineStr">
        <is>
          <t>441</t>
        </is>
      </c>
      <c r="F65" s="2" t="inlineStr">
        <is>
          <t>4460</t>
        </is>
      </c>
      <c r="G65" s="2" t="inlineStr">
        <is>
          <t>S203</t>
        </is>
      </c>
      <c r="H65">
        <f>D65&amp;F65&amp;G65</f>
        <v/>
      </c>
      <c r="I65">
        <f>E65&amp;F65</f>
        <v/>
      </c>
      <c r="J65" s="1" t="inlineStr">
        <is>
          <t>互联网省仓</t>
        </is>
      </c>
      <c r="K65">
        <f>D65&amp;F65</f>
        <v/>
      </c>
    </row>
    <row r="66" hidden="1" s="88">
      <c r="D66" s="1" t="inlineStr">
        <is>
          <t>总部深圳通用总仓(科捷)</t>
        </is>
      </c>
      <c r="E66" s="1" t="inlineStr">
        <is>
          <t>104</t>
        </is>
      </c>
      <c r="F66" s="2" t="inlineStr">
        <is>
          <t>1000</t>
        </is>
      </c>
      <c r="G66" s="2" t="inlineStr">
        <is>
          <t>2009</t>
        </is>
      </c>
      <c r="H66">
        <f>D66&amp;F66&amp;G66</f>
        <v/>
      </c>
      <c r="I66">
        <f>E66&amp;F66</f>
        <v/>
      </c>
      <c r="J66" s="1" t="inlineStr">
        <is>
          <t>深圳中心仓</t>
        </is>
      </c>
      <c r="K66">
        <f>D66&amp;F66</f>
        <v/>
      </c>
    </row>
    <row r="67" hidden="1" s="88">
      <c r="D67" s="1" t="inlineStr">
        <is>
          <t>总部深圳通用总仓(科捷)</t>
        </is>
      </c>
      <c r="E67" s="1" t="inlineStr">
        <is>
          <t>104</t>
        </is>
      </c>
      <c r="F67" s="2" t="inlineStr">
        <is>
          <t>1000</t>
        </is>
      </c>
      <c r="G67" s="2" t="inlineStr">
        <is>
          <t>B009</t>
        </is>
      </c>
      <c r="H67">
        <f>D67&amp;F67&amp;G67</f>
        <v/>
      </c>
      <c r="I67">
        <f>E67&amp;F67</f>
        <v/>
      </c>
      <c r="J67" s="1" t="inlineStr">
        <is>
          <t>深圳中心仓</t>
        </is>
      </c>
      <c r="K67">
        <f>D67&amp;F67</f>
        <v/>
      </c>
    </row>
    <row r="68" hidden="1" s="88">
      <c r="D68" s="1" t="inlineStr">
        <is>
          <t>总部深圳通用总仓(科捷)</t>
        </is>
      </c>
      <c r="E68" s="1" t="inlineStr">
        <is>
          <t>104</t>
        </is>
      </c>
      <c r="F68" s="2" t="inlineStr">
        <is>
          <t>1000</t>
        </is>
      </c>
      <c r="G68" s="2" t="inlineStr">
        <is>
          <t>Z009</t>
        </is>
      </c>
      <c r="H68">
        <f>D68&amp;F68&amp;G68</f>
        <v/>
      </c>
      <c r="I68">
        <f>E68&amp;F68</f>
        <v/>
      </c>
      <c r="J68" s="1" t="inlineStr">
        <is>
          <t>深圳中心仓</t>
        </is>
      </c>
      <c r="K68">
        <f>D68&amp;F68</f>
        <v/>
      </c>
    </row>
    <row r="69" hidden="1" s="88">
      <c r="D69" s="1" t="inlineStr">
        <is>
          <t>总部深圳通用总仓(科捷)</t>
        </is>
      </c>
      <c r="E69" s="1" t="inlineStr">
        <is>
          <t>104</t>
        </is>
      </c>
      <c r="F69" s="2" t="inlineStr">
        <is>
          <t>1030</t>
        </is>
      </c>
      <c r="G69" s="2" t="inlineStr">
        <is>
          <t>2009</t>
        </is>
      </c>
      <c r="H69">
        <f>D69&amp;F69&amp;G69</f>
        <v/>
      </c>
      <c r="I69">
        <f>E69&amp;F69</f>
        <v/>
      </c>
      <c r="J69" s="1" t="inlineStr">
        <is>
          <t>深圳中心仓</t>
        </is>
      </c>
      <c r="K69">
        <f>D69&amp;F69</f>
        <v/>
      </c>
    </row>
    <row r="70" hidden="1" s="88">
      <c r="D70" s="1" t="inlineStr">
        <is>
          <t>总部深圳通用总仓(科捷)</t>
        </is>
      </c>
      <c r="E70" s="1" t="inlineStr">
        <is>
          <t>104</t>
        </is>
      </c>
      <c r="F70" s="2" t="inlineStr">
        <is>
          <t>1030</t>
        </is>
      </c>
      <c r="G70" s="2" t="inlineStr">
        <is>
          <t>B009</t>
        </is>
      </c>
      <c r="H70">
        <f>D70&amp;F70&amp;G70</f>
        <v/>
      </c>
      <c r="I70">
        <f>E70&amp;F70</f>
        <v/>
      </c>
      <c r="J70" s="1" t="inlineStr">
        <is>
          <t>深圳中心仓</t>
        </is>
      </c>
      <c r="K70">
        <f>D70&amp;F70</f>
        <v/>
      </c>
    </row>
    <row r="71" hidden="1" s="88">
      <c r="D71" s="1" t="inlineStr">
        <is>
          <t>总部深圳通用总仓(科捷)</t>
        </is>
      </c>
      <c r="E71" s="1" t="inlineStr">
        <is>
          <t>104</t>
        </is>
      </c>
      <c r="F71" s="2" t="inlineStr">
        <is>
          <t>1030</t>
        </is>
      </c>
      <c r="G71" s="2" t="inlineStr">
        <is>
          <t>Z009</t>
        </is>
      </c>
      <c r="H71">
        <f>D71&amp;F71&amp;G71</f>
        <v/>
      </c>
      <c r="I71">
        <f>E71&amp;F71</f>
        <v/>
      </c>
      <c r="J71" s="1" t="inlineStr">
        <is>
          <t>深圳中心仓</t>
        </is>
      </c>
      <c r="K71">
        <f>D71&amp;F71</f>
        <v/>
      </c>
    </row>
    <row r="72" hidden="1" s="88">
      <c r="D72" s="1" t="inlineStr">
        <is>
          <t>总部深圳通用总仓(科捷)</t>
        </is>
      </c>
      <c r="E72" s="1" t="inlineStr">
        <is>
          <t>104</t>
        </is>
      </c>
      <c r="F72" s="2" t="inlineStr">
        <is>
          <t>4400</t>
        </is>
      </c>
      <c r="G72" s="2" t="inlineStr">
        <is>
          <t>2052</t>
        </is>
      </c>
      <c r="H72">
        <f>D72&amp;F72&amp;G72</f>
        <v/>
      </c>
      <c r="I72">
        <f>E72&amp;F72</f>
        <v/>
      </c>
      <c r="J72" s="1" t="inlineStr">
        <is>
          <t>深圳省仓</t>
        </is>
      </c>
      <c r="K72">
        <f>D72&amp;F72</f>
        <v/>
      </c>
    </row>
    <row r="73" hidden="1" s="88">
      <c r="D73" s="1" t="inlineStr">
        <is>
          <t>总部深圳通用总仓(科捷)</t>
        </is>
      </c>
      <c r="E73" s="1" t="inlineStr">
        <is>
          <t>104</t>
        </is>
      </c>
      <c r="F73" s="2" t="inlineStr">
        <is>
          <t>4400</t>
        </is>
      </c>
      <c r="G73" s="2" t="inlineStr">
        <is>
          <t>2053</t>
        </is>
      </c>
      <c r="H73">
        <f>D73&amp;F73&amp;G73</f>
        <v/>
      </c>
      <c r="I73">
        <f>E73&amp;F73</f>
        <v/>
      </c>
      <c r="J73" s="1" t="inlineStr">
        <is>
          <t>深圳省仓</t>
        </is>
      </c>
      <c r="K73">
        <f>D73&amp;F73</f>
        <v/>
      </c>
    </row>
    <row r="74" hidden="1" customFormat="1" s="1">
      <c r="D74" s="1" t="inlineStr">
        <is>
          <t>总部深圳通用总仓(科捷)</t>
        </is>
      </c>
      <c r="E74" s="1" t="inlineStr">
        <is>
          <t>104</t>
        </is>
      </c>
      <c r="F74" s="1" t="inlineStr">
        <is>
          <t>4400</t>
        </is>
      </c>
      <c r="G74" s="1" t="inlineStr">
        <is>
          <t>2353</t>
        </is>
      </c>
      <c r="H74" s="1">
        <f>D74&amp;F74&amp;G74</f>
        <v/>
      </c>
      <c r="I74">
        <f>E74&amp;F74</f>
        <v/>
      </c>
      <c r="J74" s="1" t="inlineStr">
        <is>
          <t>深圳省仓</t>
        </is>
      </c>
      <c r="K74">
        <f>D74&amp;F74</f>
        <v/>
      </c>
    </row>
    <row r="75" customFormat="1" s="1">
      <c r="D75" s="1" t="inlineStr">
        <is>
          <t>广东OPPO花都省仓(科捷)</t>
        </is>
      </c>
      <c r="E75" s="1" t="inlineStr">
        <is>
          <t>443</t>
        </is>
      </c>
      <c r="F75" s="1" t="n">
        <v>4400</v>
      </c>
      <c r="G75" s="1" t="n">
        <v>2365</v>
      </c>
      <c r="H75" s="1">
        <f>D75&amp;F75&amp;G75</f>
        <v/>
      </c>
      <c r="I75">
        <f>E75&amp;F75</f>
        <v/>
      </c>
      <c r="J75" s="1" t="inlineStr">
        <is>
          <t>花都省仓</t>
        </is>
      </c>
      <c r="K75">
        <f>D75&amp;F75</f>
        <v/>
      </c>
    </row>
    <row r="76" customFormat="1" s="1">
      <c r="D76" s="1" t="inlineStr">
        <is>
          <t>广东OPPO花都省仓(科捷)</t>
        </is>
      </c>
      <c r="E76" s="1" t="n">
        <v>443</v>
      </c>
      <c r="F76" s="1" t="n">
        <v>4400</v>
      </c>
      <c r="G76" s="1" t="n">
        <v>2364</v>
      </c>
      <c r="H76" s="1">
        <f>D76&amp;F76&amp;G76</f>
        <v/>
      </c>
      <c r="I76">
        <f>E76&amp;F76</f>
        <v/>
      </c>
      <c r="J76" s="1" t="inlineStr">
        <is>
          <t>花都省仓</t>
        </is>
      </c>
      <c r="K76">
        <f>D76&amp;F76</f>
        <v/>
      </c>
    </row>
    <row r="77" customFormat="1" s="1">
      <c r="D77" s="1" t="inlineStr">
        <is>
          <t>广东OPPO花都省仓(科捷)</t>
        </is>
      </c>
      <c r="E77" s="1" t="n">
        <v>443</v>
      </c>
      <c r="F77" s="1" t="n">
        <v>4400</v>
      </c>
      <c r="G77" s="1" t="n">
        <v>2361</v>
      </c>
      <c r="H77" s="1">
        <f>D77&amp;F77&amp;G77</f>
        <v/>
      </c>
      <c r="I77">
        <f>E77&amp;F77</f>
        <v/>
      </c>
      <c r="J77" s="1" t="inlineStr">
        <is>
          <t>花都省仓</t>
        </is>
      </c>
      <c r="K77">
        <f>D77&amp;F77</f>
        <v/>
      </c>
    </row>
    <row r="78" customFormat="1" s="1">
      <c r="D78" s="1" t="inlineStr">
        <is>
          <t>广东OPPO花都省仓(科捷)</t>
        </is>
      </c>
      <c r="E78" s="1" t="n">
        <v>443</v>
      </c>
      <c r="F78" s="1" t="n">
        <v>4400</v>
      </c>
      <c r="G78" s="1" t="n">
        <v>2359</v>
      </c>
      <c r="H78" s="1">
        <f>D78&amp;F78&amp;G78</f>
        <v/>
      </c>
      <c r="I78">
        <f>E78&amp;F78</f>
        <v/>
      </c>
      <c r="J78" s="1" t="inlineStr">
        <is>
          <t>花都省仓</t>
        </is>
      </c>
      <c r="K78">
        <f>D78&amp;F78</f>
        <v/>
      </c>
    </row>
    <row r="79" customFormat="1" s="1">
      <c r="D79" s="1" t="inlineStr">
        <is>
          <t>广东OPPO花都省仓(科捷)</t>
        </is>
      </c>
      <c r="E79" s="1" t="n">
        <v>443</v>
      </c>
      <c r="F79" s="1" t="n">
        <v>4400</v>
      </c>
      <c r="G79" s="1" t="n">
        <v>2360</v>
      </c>
      <c r="H79" s="1">
        <f>D79&amp;F79&amp;G79</f>
        <v/>
      </c>
      <c r="I79">
        <f>E79&amp;F79</f>
        <v/>
      </c>
      <c r="J79" s="1" t="inlineStr">
        <is>
          <t>花都省仓</t>
        </is>
      </c>
      <c r="K79">
        <f>D79&amp;F79</f>
        <v/>
      </c>
    </row>
    <row r="80" customFormat="1" s="1">
      <c r="D80" s="1" t="inlineStr">
        <is>
          <t>广东OPPO花都省仓(科捷)</t>
        </is>
      </c>
      <c r="E80" s="1" t="n">
        <v>443</v>
      </c>
      <c r="F80" s="1" t="n">
        <v>4400</v>
      </c>
      <c r="G80" s="1" t="n">
        <v>2358</v>
      </c>
      <c r="H80" s="1">
        <f>D80&amp;F80&amp;G80</f>
        <v/>
      </c>
      <c r="I80">
        <f>E80&amp;F80</f>
        <v/>
      </c>
      <c r="J80" s="1" t="inlineStr">
        <is>
          <t>花都省仓</t>
        </is>
      </c>
      <c r="K80">
        <f>D80&amp;F80</f>
        <v/>
      </c>
    </row>
    <row r="81" customFormat="1" s="1">
      <c r="D81" s="1" t="inlineStr">
        <is>
          <t>广东OPPO花都省仓(科捷)</t>
        </is>
      </c>
      <c r="E81" s="1" t="n">
        <v>443</v>
      </c>
      <c r="F81" s="1" t="n">
        <v>4400</v>
      </c>
      <c r="G81" s="1" t="n">
        <v>2347</v>
      </c>
      <c r="H81" s="1">
        <f>D81&amp;F81&amp;G81</f>
        <v/>
      </c>
      <c r="I81">
        <f>E81&amp;F81</f>
        <v/>
      </c>
      <c r="J81" s="1" t="inlineStr">
        <is>
          <t>花都省仓</t>
        </is>
      </c>
      <c r="K81">
        <f>D81&amp;F81</f>
        <v/>
      </c>
    </row>
    <row r="82" customFormat="1" s="1">
      <c r="D82" s="1" t="inlineStr">
        <is>
          <t>广东OPPO花都省仓(科捷)</t>
        </is>
      </c>
      <c r="E82" s="1" t="n">
        <v>443</v>
      </c>
      <c r="F82" s="1" t="n">
        <v>4400</v>
      </c>
      <c r="G82" s="1" t="n">
        <v>2348</v>
      </c>
      <c r="H82" s="1">
        <f>D82&amp;F82&amp;G82</f>
        <v/>
      </c>
      <c r="I82">
        <f>E82&amp;F82</f>
        <v/>
      </c>
      <c r="J82" s="1" t="inlineStr">
        <is>
          <t>花都省仓</t>
        </is>
      </c>
      <c r="K82">
        <f>D82&amp;F82</f>
        <v/>
      </c>
    </row>
    <row r="83" customFormat="1" s="1">
      <c r="D83" s="1" t="inlineStr">
        <is>
          <t>广东OPPO花都省仓(科捷)</t>
        </is>
      </c>
      <c r="E83" s="1" t="n">
        <v>443</v>
      </c>
      <c r="F83" s="1" t="n">
        <v>4400</v>
      </c>
      <c r="G83" s="1" t="n">
        <v>2329</v>
      </c>
      <c r="H83" s="1">
        <f>D83&amp;F83&amp;G83</f>
        <v/>
      </c>
      <c r="I83">
        <f>E83&amp;F83</f>
        <v/>
      </c>
      <c r="J83" s="1" t="inlineStr">
        <is>
          <t>花都省仓</t>
        </is>
      </c>
      <c r="K83">
        <f>D83&amp;F83</f>
        <v/>
      </c>
    </row>
    <row r="84" customFormat="1" s="1">
      <c r="D84" s="1" t="inlineStr">
        <is>
          <t>广东OPPO花都省仓(科捷)</t>
        </is>
      </c>
      <c r="E84" s="1" t="n">
        <v>443</v>
      </c>
      <c r="F84" s="1" t="n">
        <v>4400</v>
      </c>
      <c r="G84" s="1" t="n">
        <v>2330</v>
      </c>
      <c r="H84" s="1">
        <f>D84&amp;F84&amp;G84</f>
        <v/>
      </c>
      <c r="I84">
        <f>E84&amp;F84</f>
        <v/>
      </c>
      <c r="J84" s="1" t="inlineStr">
        <is>
          <t>花都省仓</t>
        </is>
      </c>
      <c r="K84">
        <f>D84&amp;F84</f>
        <v/>
      </c>
    </row>
    <row r="85" hidden="1" s="88">
      <c r="D85" s="1" t="inlineStr">
        <is>
          <t>广东广州市省仓(科捷)</t>
        </is>
      </c>
      <c r="E85" s="1" t="inlineStr">
        <is>
          <t>440</t>
        </is>
      </c>
      <c r="F85" s="2" t="inlineStr">
        <is>
          <t>4450</t>
        </is>
      </c>
      <c r="G85" s="2" t="inlineStr">
        <is>
          <t>2001</t>
        </is>
      </c>
      <c r="H85">
        <f>D85&amp;F85&amp;G85</f>
        <v/>
      </c>
      <c r="I85">
        <f>E85&amp;F85</f>
        <v/>
      </c>
      <c r="J85" s="1" t="inlineStr">
        <is>
          <t>增城省仓</t>
        </is>
      </c>
      <c r="K85">
        <f>D85&amp;F85</f>
        <v/>
      </c>
    </row>
    <row r="86" hidden="1" s="88">
      <c r="D86" s="1" t="inlineStr">
        <is>
          <t>广东广州市省仓(科捷)</t>
        </is>
      </c>
      <c r="E86" s="1" t="inlineStr">
        <is>
          <t>440</t>
        </is>
      </c>
      <c r="F86" s="2" t="inlineStr">
        <is>
          <t>4450</t>
        </is>
      </c>
      <c r="G86" s="2" t="inlineStr">
        <is>
          <t>2004</t>
        </is>
      </c>
      <c r="H86">
        <f>D86&amp;F86&amp;G86</f>
        <v/>
      </c>
      <c r="I86">
        <f>E86&amp;F86</f>
        <v/>
      </c>
      <c r="J86" s="1" t="inlineStr">
        <is>
          <t>增城省仓</t>
        </is>
      </c>
      <c r="K86">
        <f>D86&amp;F86</f>
        <v/>
      </c>
    </row>
    <row r="87" hidden="1" s="88">
      <c r="D87" s="1" t="inlineStr">
        <is>
          <t>广东广州市省仓(科捷)</t>
        </is>
      </c>
      <c r="E87" s="1" t="inlineStr">
        <is>
          <t>440</t>
        </is>
      </c>
      <c r="F87" s="2" t="inlineStr">
        <is>
          <t>4450</t>
        </is>
      </c>
      <c r="G87" s="2" t="inlineStr">
        <is>
          <t>2049</t>
        </is>
      </c>
      <c r="H87">
        <f>D87&amp;F87&amp;G87</f>
        <v/>
      </c>
      <c r="I87">
        <f>E87&amp;F87</f>
        <v/>
      </c>
      <c r="J87" s="1" t="inlineStr">
        <is>
          <t>增城省仓</t>
        </is>
      </c>
      <c r="K87">
        <f>D87&amp;F87</f>
        <v/>
      </c>
    </row>
    <row r="88" hidden="1" s="88">
      <c r="D88" s="1" t="inlineStr">
        <is>
          <t>广东广州市省仓(科捷)</t>
        </is>
      </c>
      <c r="E88" s="1" t="inlineStr">
        <is>
          <t>440</t>
        </is>
      </c>
      <c r="F88" s="2" t="inlineStr">
        <is>
          <t>4450</t>
        </is>
      </c>
      <c r="G88" s="2" t="inlineStr">
        <is>
          <t>2061</t>
        </is>
      </c>
      <c r="H88">
        <f>D88&amp;F88&amp;G88</f>
        <v/>
      </c>
      <c r="I88">
        <f>E88&amp;F88</f>
        <v/>
      </c>
      <c r="J88" s="1" t="inlineStr">
        <is>
          <t>增城省仓</t>
        </is>
      </c>
      <c r="K88">
        <f>D88&amp;F88</f>
        <v/>
      </c>
    </row>
    <row r="89" hidden="1" s="88">
      <c r="D89" s="1" t="inlineStr">
        <is>
          <t>广东广州市省仓(科捷)</t>
        </is>
      </c>
      <c r="E89" s="1" t="inlineStr">
        <is>
          <t>440</t>
        </is>
      </c>
      <c r="F89" s="2" t="inlineStr">
        <is>
          <t>4450</t>
        </is>
      </c>
      <c r="G89" s="2" t="inlineStr">
        <is>
          <t>2065</t>
        </is>
      </c>
      <c r="H89">
        <f>D89&amp;F89&amp;G89</f>
        <v/>
      </c>
      <c r="I89">
        <f>E89&amp;F89</f>
        <v/>
      </c>
      <c r="J89" s="1" t="inlineStr">
        <is>
          <t>增城省仓</t>
        </is>
      </c>
      <c r="K89">
        <f>D89&amp;F89</f>
        <v/>
      </c>
    </row>
    <row r="90" hidden="1" s="88">
      <c r="D90" s="1" t="inlineStr">
        <is>
          <t>广东广州市省仓(科捷)</t>
        </is>
      </c>
      <c r="E90" s="1" t="inlineStr">
        <is>
          <t>440</t>
        </is>
      </c>
      <c r="F90" s="2" t="inlineStr">
        <is>
          <t>4450</t>
        </is>
      </c>
      <c r="G90" s="2" t="inlineStr">
        <is>
          <t>2088</t>
        </is>
      </c>
      <c r="H90">
        <f>D90&amp;F90&amp;G90</f>
        <v/>
      </c>
      <c r="I90">
        <f>E90&amp;F90</f>
        <v/>
      </c>
      <c r="J90" s="1" t="inlineStr">
        <is>
          <t>增城省仓</t>
        </is>
      </c>
      <c r="K90">
        <f>D90&amp;F90</f>
        <v/>
      </c>
    </row>
    <row r="91" hidden="1" s="88">
      <c r="D91" s="1" t="inlineStr">
        <is>
          <t>广东广州市省仓(科捷)</t>
        </is>
      </c>
      <c r="E91" s="1" t="inlineStr">
        <is>
          <t>440</t>
        </is>
      </c>
      <c r="F91" s="2" t="inlineStr">
        <is>
          <t>4450</t>
        </is>
      </c>
      <c r="G91" s="2" t="inlineStr">
        <is>
          <t>2094</t>
        </is>
      </c>
      <c r="H91">
        <f>D91&amp;F91&amp;G91</f>
        <v/>
      </c>
      <c r="I91">
        <f>E91&amp;F91</f>
        <v/>
      </c>
      <c r="J91" s="1" t="inlineStr">
        <is>
          <t>增城省仓</t>
        </is>
      </c>
      <c r="K91">
        <f>D91&amp;F91</f>
        <v/>
      </c>
    </row>
    <row r="92" hidden="1" s="88">
      <c r="D92" s="1" t="inlineStr">
        <is>
          <t>广东广州市省仓(科捷)</t>
        </is>
      </c>
      <c r="E92" s="1" t="inlineStr">
        <is>
          <t>440</t>
        </is>
      </c>
      <c r="F92" s="2" t="inlineStr">
        <is>
          <t>4450</t>
        </is>
      </c>
      <c r="G92" s="2" t="inlineStr">
        <is>
          <t>2097</t>
        </is>
      </c>
      <c r="H92">
        <f>D92&amp;F92&amp;G92</f>
        <v/>
      </c>
      <c r="I92">
        <f>E92&amp;F92</f>
        <v/>
      </c>
      <c r="J92" s="1" t="inlineStr">
        <is>
          <t>增城省仓</t>
        </is>
      </c>
      <c r="K92">
        <f>D92&amp;F92</f>
        <v/>
      </c>
    </row>
    <row r="93" hidden="1" s="88">
      <c r="D93" s="1" t="inlineStr">
        <is>
          <t>广东广州市省仓(科捷)</t>
        </is>
      </c>
      <c r="E93" s="1" t="inlineStr">
        <is>
          <t>440</t>
        </is>
      </c>
      <c r="F93" s="2" t="inlineStr">
        <is>
          <t>4450</t>
        </is>
      </c>
      <c r="G93" s="2" t="inlineStr">
        <is>
          <t>2098</t>
        </is>
      </c>
      <c r="H93">
        <f>D93&amp;F93&amp;G93</f>
        <v/>
      </c>
      <c r="I93">
        <f>E93&amp;F93</f>
        <v/>
      </c>
      <c r="J93" s="1" t="inlineStr">
        <is>
          <t>增城省仓</t>
        </is>
      </c>
      <c r="K93">
        <f>D93&amp;F93</f>
        <v/>
      </c>
    </row>
    <row r="94" hidden="1" s="88">
      <c r="D94" s="1" t="inlineStr">
        <is>
          <t>广东广州市省仓(科捷)</t>
        </is>
      </c>
      <c r="E94" s="1" t="inlineStr">
        <is>
          <t>440</t>
        </is>
      </c>
      <c r="F94" s="2" t="inlineStr">
        <is>
          <t>4450</t>
        </is>
      </c>
      <c r="G94" s="2" t="inlineStr">
        <is>
          <t>2102</t>
        </is>
      </c>
      <c r="H94">
        <f>D94&amp;F94&amp;G94</f>
        <v/>
      </c>
      <c r="I94">
        <f>E94&amp;F94</f>
        <v/>
      </c>
      <c r="J94" s="1" t="inlineStr">
        <is>
          <t>增城省仓</t>
        </is>
      </c>
      <c r="K94">
        <f>D94&amp;F94</f>
        <v/>
      </c>
    </row>
    <row r="95" hidden="1" s="88">
      <c r="D95" s="1" t="inlineStr">
        <is>
          <t>广东广州市省仓(科捷)</t>
        </is>
      </c>
      <c r="E95" s="1" t="inlineStr">
        <is>
          <t>440</t>
        </is>
      </c>
      <c r="F95" s="2" t="inlineStr">
        <is>
          <t>4450</t>
        </is>
      </c>
      <c r="G95" s="2" t="inlineStr">
        <is>
          <t>2105</t>
        </is>
      </c>
      <c r="H95">
        <f>D95&amp;F95&amp;G95</f>
        <v/>
      </c>
      <c r="I95">
        <f>E95&amp;F95</f>
        <v/>
      </c>
      <c r="J95" s="1" t="inlineStr">
        <is>
          <t>增城省仓</t>
        </is>
      </c>
      <c r="K95">
        <f>D95&amp;F95</f>
        <v/>
      </c>
    </row>
    <row r="96" hidden="1" s="88">
      <c r="D96" s="1" t="inlineStr">
        <is>
          <t>广东广州市省仓(科捷)</t>
        </is>
      </c>
      <c r="E96" s="1" t="inlineStr">
        <is>
          <t>440</t>
        </is>
      </c>
      <c r="F96" s="2" t="inlineStr">
        <is>
          <t>4450</t>
        </is>
      </c>
      <c r="G96" s="2" t="inlineStr">
        <is>
          <t>2200</t>
        </is>
      </c>
      <c r="H96">
        <f>D96&amp;F96&amp;G96</f>
        <v/>
      </c>
      <c r="I96">
        <f>E96&amp;F96</f>
        <v/>
      </c>
      <c r="J96" s="1" t="inlineStr">
        <is>
          <t>增城省仓</t>
        </is>
      </c>
      <c r="K96">
        <f>D96&amp;F96</f>
        <v/>
      </c>
    </row>
    <row r="97" hidden="1" s="88">
      <c r="D97" s="1" t="inlineStr">
        <is>
          <t>广东广州市省仓(科捷)</t>
        </is>
      </c>
      <c r="E97" s="1" t="inlineStr">
        <is>
          <t>440</t>
        </is>
      </c>
      <c r="F97" s="2" t="inlineStr">
        <is>
          <t>4450</t>
        </is>
      </c>
      <c r="G97" s="2" t="inlineStr">
        <is>
          <t>2201</t>
        </is>
      </c>
      <c r="H97">
        <f>D97&amp;F97&amp;G97</f>
        <v/>
      </c>
      <c r="I97">
        <f>E97&amp;F97</f>
        <v/>
      </c>
      <c r="J97" s="1" t="inlineStr">
        <is>
          <t>增城省仓</t>
        </is>
      </c>
      <c r="K97">
        <f>D97&amp;F97</f>
        <v/>
      </c>
    </row>
    <row r="98" hidden="1" s="88">
      <c r="D98" s="1" t="inlineStr">
        <is>
          <t>广东广州市省仓(科捷)</t>
        </is>
      </c>
      <c r="E98" s="1" t="inlineStr">
        <is>
          <t>440</t>
        </is>
      </c>
      <c r="F98" s="2" t="inlineStr">
        <is>
          <t>4450</t>
        </is>
      </c>
      <c r="G98" s="2" t="inlineStr">
        <is>
          <t>2202</t>
        </is>
      </c>
      <c r="H98">
        <f>D98&amp;F98&amp;G98</f>
        <v/>
      </c>
      <c r="I98">
        <f>E98&amp;F98</f>
        <v/>
      </c>
      <c r="J98" s="1" t="inlineStr">
        <is>
          <t>增城省仓</t>
        </is>
      </c>
      <c r="K98">
        <f>D98&amp;F98</f>
        <v/>
      </c>
    </row>
    <row r="99" hidden="1" s="88">
      <c r="D99" s="1" t="inlineStr">
        <is>
          <t>广东广州市省仓(科捷)</t>
        </is>
      </c>
      <c r="E99" s="1" t="inlineStr">
        <is>
          <t>440</t>
        </is>
      </c>
      <c r="F99" s="2" t="inlineStr">
        <is>
          <t>4450</t>
        </is>
      </c>
      <c r="G99" s="2" t="inlineStr">
        <is>
          <t>2203</t>
        </is>
      </c>
      <c r="H99">
        <f>D99&amp;F99&amp;G99</f>
        <v/>
      </c>
      <c r="I99">
        <f>E99&amp;F99</f>
        <v/>
      </c>
      <c r="J99" s="1" t="inlineStr">
        <is>
          <t>增城省仓</t>
        </is>
      </c>
      <c r="K99">
        <f>D99&amp;F99</f>
        <v/>
      </c>
    </row>
    <row r="100" hidden="1" s="88">
      <c r="D100" s="1" t="inlineStr">
        <is>
          <t>广东广州市省仓(科捷)</t>
        </is>
      </c>
      <c r="E100" s="1" t="inlineStr">
        <is>
          <t>440</t>
        </is>
      </c>
      <c r="F100" s="2" t="inlineStr">
        <is>
          <t>4450</t>
        </is>
      </c>
      <c r="G100" s="2" t="inlineStr">
        <is>
          <t>2204</t>
        </is>
      </c>
      <c r="H100">
        <f>D100&amp;F100&amp;G100</f>
        <v/>
      </c>
      <c r="I100">
        <f>E100&amp;F100</f>
        <v/>
      </c>
      <c r="J100" s="1" t="inlineStr">
        <is>
          <t>增城省仓</t>
        </is>
      </c>
      <c r="K100">
        <f>D100&amp;F100</f>
        <v/>
      </c>
    </row>
    <row r="101" hidden="1" s="88">
      <c r="D101" s="1" t="inlineStr">
        <is>
          <t>广东广州市省仓(科捷)</t>
        </is>
      </c>
      <c r="E101" s="1" t="inlineStr">
        <is>
          <t>440</t>
        </is>
      </c>
      <c r="F101" s="2" t="inlineStr">
        <is>
          <t>4450</t>
        </is>
      </c>
      <c r="G101" s="2" t="inlineStr">
        <is>
          <t>2205</t>
        </is>
      </c>
      <c r="H101">
        <f>D101&amp;F101&amp;G101</f>
        <v/>
      </c>
      <c r="I101">
        <f>E101&amp;F101</f>
        <v/>
      </c>
      <c r="J101" s="1" t="inlineStr">
        <is>
          <t>增城省仓</t>
        </is>
      </c>
      <c r="K101">
        <f>D101&amp;F101</f>
        <v/>
      </c>
    </row>
    <row r="102" hidden="1" s="88">
      <c r="D102" s="1" t="inlineStr">
        <is>
          <t>广东广州市省仓(科捷)</t>
        </is>
      </c>
      <c r="E102" s="1" t="inlineStr">
        <is>
          <t>440</t>
        </is>
      </c>
      <c r="F102" s="2" t="inlineStr">
        <is>
          <t>4450</t>
        </is>
      </c>
      <c r="G102" s="2" t="inlineStr">
        <is>
          <t>2206</t>
        </is>
      </c>
      <c r="H102">
        <f>D102&amp;F102&amp;G102</f>
        <v/>
      </c>
      <c r="I102">
        <f>E102&amp;F102</f>
        <v/>
      </c>
      <c r="J102" s="1" t="inlineStr">
        <is>
          <t>增城省仓</t>
        </is>
      </c>
      <c r="K102">
        <f>D102&amp;F102</f>
        <v/>
      </c>
    </row>
    <row r="103" hidden="1" s="88">
      <c r="D103" s="1" t="inlineStr">
        <is>
          <t>广东广州市省仓(科捷)</t>
        </is>
      </c>
      <c r="E103" s="1" t="inlineStr">
        <is>
          <t>440</t>
        </is>
      </c>
      <c r="F103" s="2" t="inlineStr">
        <is>
          <t>4450</t>
        </is>
      </c>
      <c r="G103" s="2" t="inlineStr">
        <is>
          <t>2301</t>
        </is>
      </c>
      <c r="H103">
        <f>D103&amp;F103&amp;G103</f>
        <v/>
      </c>
      <c r="I103">
        <f>E103&amp;F103</f>
        <v/>
      </c>
      <c r="J103" s="1" t="inlineStr">
        <is>
          <t>增城省仓</t>
        </is>
      </c>
      <c r="K103">
        <f>D103&amp;F103</f>
        <v/>
      </c>
    </row>
    <row r="104" hidden="1" s="88">
      <c r="D104" s="1" t="inlineStr">
        <is>
          <t>广东广州市省仓(科捷)</t>
        </is>
      </c>
      <c r="E104" s="1" t="inlineStr">
        <is>
          <t>440</t>
        </is>
      </c>
      <c r="F104" s="2" t="inlineStr">
        <is>
          <t>4450</t>
        </is>
      </c>
      <c r="G104" s="2" t="inlineStr">
        <is>
          <t>2302</t>
        </is>
      </c>
      <c r="H104">
        <f>D104&amp;F104&amp;G104</f>
        <v/>
      </c>
      <c r="I104">
        <f>E104&amp;F104</f>
        <v/>
      </c>
      <c r="J104" s="1" t="inlineStr">
        <is>
          <t>增城省仓</t>
        </is>
      </c>
      <c r="K104">
        <f>D104&amp;F104</f>
        <v/>
      </c>
    </row>
    <row r="105" hidden="1" s="88">
      <c r="D105" s="1" t="inlineStr">
        <is>
          <t>广东广州市省仓(科捷)</t>
        </is>
      </c>
      <c r="E105" s="1" t="inlineStr">
        <is>
          <t>440</t>
        </is>
      </c>
      <c r="F105" s="2" t="inlineStr">
        <is>
          <t>4450</t>
        </is>
      </c>
      <c r="G105" s="2" t="inlineStr">
        <is>
          <t>2303</t>
        </is>
      </c>
      <c r="H105">
        <f>D105&amp;F105&amp;G105</f>
        <v/>
      </c>
      <c r="I105">
        <f>E105&amp;F105</f>
        <v/>
      </c>
      <c r="J105" s="1" t="inlineStr">
        <is>
          <t>增城省仓</t>
        </is>
      </c>
      <c r="K105">
        <f>D105&amp;F105</f>
        <v/>
      </c>
    </row>
    <row r="106" hidden="1" s="88">
      <c r="D106" s="1" t="inlineStr">
        <is>
          <t>广东广州市省仓(科捷)</t>
        </is>
      </c>
      <c r="E106" s="1" t="inlineStr">
        <is>
          <t>440</t>
        </is>
      </c>
      <c r="F106" s="2" t="inlineStr">
        <is>
          <t>4450</t>
        </is>
      </c>
      <c r="G106" s="2" t="inlineStr">
        <is>
          <t>2304</t>
        </is>
      </c>
      <c r="H106">
        <f>D106&amp;F106&amp;G106</f>
        <v/>
      </c>
      <c r="I106">
        <f>E106&amp;F106</f>
        <v/>
      </c>
      <c r="J106" s="1" t="inlineStr">
        <is>
          <t>增城省仓</t>
        </is>
      </c>
      <c r="K106">
        <f>D106&amp;F106</f>
        <v/>
      </c>
    </row>
    <row r="107" hidden="1" s="88">
      <c r="D107" s="1" t="inlineStr">
        <is>
          <t>广东广州市省仓(科捷)</t>
        </is>
      </c>
      <c r="E107" s="1" t="inlineStr">
        <is>
          <t>440</t>
        </is>
      </c>
      <c r="F107" s="2" t="inlineStr">
        <is>
          <t>4450</t>
        </is>
      </c>
      <c r="G107" s="2" t="inlineStr">
        <is>
          <t>2305</t>
        </is>
      </c>
      <c r="H107">
        <f>D107&amp;F107&amp;G107</f>
        <v/>
      </c>
      <c r="I107">
        <f>E107&amp;F107</f>
        <v/>
      </c>
      <c r="J107" s="1" t="inlineStr">
        <is>
          <t>增城省仓</t>
        </is>
      </c>
      <c r="K107">
        <f>D107&amp;F107</f>
        <v/>
      </c>
    </row>
    <row r="108" hidden="1" s="88">
      <c r="D108" s="1" t="inlineStr">
        <is>
          <t>广东广州市省仓(科捷)</t>
        </is>
      </c>
      <c r="E108" s="1" t="inlineStr">
        <is>
          <t>440</t>
        </is>
      </c>
      <c r="F108" s="2" t="inlineStr">
        <is>
          <t>4450</t>
        </is>
      </c>
      <c r="G108" s="2" t="inlineStr">
        <is>
          <t>2306</t>
        </is>
      </c>
      <c r="H108">
        <f>D108&amp;F108&amp;G108</f>
        <v/>
      </c>
      <c r="I108">
        <f>E108&amp;F108</f>
        <v/>
      </c>
      <c r="J108" s="1" t="inlineStr">
        <is>
          <t>增城省仓</t>
        </is>
      </c>
      <c r="K108">
        <f>D108&amp;F108</f>
        <v/>
      </c>
    </row>
    <row r="109" hidden="1" s="88">
      <c r="D109" s="1" t="inlineStr">
        <is>
          <t>广东广州市省仓(科捷)</t>
        </is>
      </c>
      <c r="E109" s="1" t="inlineStr">
        <is>
          <t>440</t>
        </is>
      </c>
      <c r="F109" s="2" t="inlineStr">
        <is>
          <t>4450</t>
        </is>
      </c>
      <c r="G109" s="2" t="inlineStr">
        <is>
          <t>2322</t>
        </is>
      </c>
      <c r="H109">
        <f>D109&amp;F109&amp;G109</f>
        <v/>
      </c>
      <c r="I109">
        <f>E109&amp;F109</f>
        <v/>
      </c>
      <c r="J109" s="1" t="inlineStr">
        <is>
          <t>增城省仓</t>
        </is>
      </c>
      <c r="K109">
        <f>D109&amp;F109</f>
        <v/>
      </c>
    </row>
    <row r="110" hidden="1" s="88">
      <c r="D110" s="1" t="inlineStr">
        <is>
          <t>广东广州市省仓(科捷)</t>
        </is>
      </c>
      <c r="E110" s="1" t="inlineStr">
        <is>
          <t>440</t>
        </is>
      </c>
      <c r="F110" s="2" t="inlineStr">
        <is>
          <t>4450</t>
        </is>
      </c>
      <c r="G110" s="2" t="inlineStr">
        <is>
          <t>2331</t>
        </is>
      </c>
      <c r="H110">
        <f>D110&amp;F110&amp;G110</f>
        <v/>
      </c>
      <c r="I110">
        <f>E110&amp;F110</f>
        <v/>
      </c>
      <c r="J110" s="1" t="inlineStr">
        <is>
          <t>增城省仓</t>
        </is>
      </c>
      <c r="K110">
        <f>D110&amp;F110</f>
        <v/>
      </c>
    </row>
    <row r="111" hidden="1" s="88">
      <c r="D111" s="1" t="inlineStr">
        <is>
          <t>广东广州市省仓(科捷)</t>
        </is>
      </c>
      <c r="E111" s="1" t="inlineStr">
        <is>
          <t>440</t>
        </is>
      </c>
      <c r="F111" s="2" t="inlineStr">
        <is>
          <t>4450</t>
        </is>
      </c>
      <c r="G111" s="2" t="inlineStr">
        <is>
          <t>2335</t>
        </is>
      </c>
      <c r="H111">
        <f>D111&amp;F111&amp;G111</f>
        <v/>
      </c>
      <c r="I111">
        <f>E111&amp;F111</f>
        <v/>
      </c>
      <c r="J111" s="1" t="inlineStr">
        <is>
          <t>增城省仓</t>
        </is>
      </c>
      <c r="K111">
        <f>D111&amp;F111</f>
        <v/>
      </c>
    </row>
    <row r="112" hidden="1" s="88">
      <c r="D112" s="1" t="inlineStr">
        <is>
          <t>广东广州市省仓(科捷)</t>
        </is>
      </c>
      <c r="E112" s="1" t="inlineStr">
        <is>
          <t>440</t>
        </is>
      </c>
      <c r="F112" s="2" t="inlineStr">
        <is>
          <t>4450</t>
        </is>
      </c>
      <c r="G112" s="2" t="inlineStr">
        <is>
          <t>2336</t>
        </is>
      </c>
      <c r="H112">
        <f>D112&amp;F112&amp;G112</f>
        <v/>
      </c>
      <c r="I112">
        <f>E112&amp;F112</f>
        <v/>
      </c>
      <c r="J112" s="1" t="inlineStr">
        <is>
          <t>增城省仓</t>
        </is>
      </c>
      <c r="K112">
        <f>D112&amp;F112</f>
        <v/>
      </c>
    </row>
    <row r="113" hidden="1" s="88">
      <c r="D113" s="1" t="inlineStr">
        <is>
          <t>广东广州市省仓(科捷)</t>
        </is>
      </c>
      <c r="E113" s="1" t="inlineStr">
        <is>
          <t>440</t>
        </is>
      </c>
      <c r="F113" s="2" t="inlineStr">
        <is>
          <t>4450</t>
        </is>
      </c>
      <c r="G113" s="2" t="inlineStr">
        <is>
          <t>2337</t>
        </is>
      </c>
      <c r="H113">
        <f>D113&amp;F113&amp;G113</f>
        <v/>
      </c>
      <c r="I113">
        <f>E113&amp;F113</f>
        <v/>
      </c>
      <c r="J113" s="1" t="inlineStr">
        <is>
          <t>增城省仓</t>
        </is>
      </c>
      <c r="K113">
        <f>D113&amp;F113</f>
        <v/>
      </c>
    </row>
    <row r="114" hidden="1" s="88">
      <c r="D114" s="1" t="inlineStr">
        <is>
          <t>广东广州市省仓(科捷)</t>
        </is>
      </c>
      <c r="E114" s="1" t="inlineStr">
        <is>
          <t>440</t>
        </is>
      </c>
      <c r="F114" s="2" t="inlineStr">
        <is>
          <t>4450</t>
        </is>
      </c>
      <c r="G114" s="2" t="inlineStr">
        <is>
          <t>2338</t>
        </is>
      </c>
      <c r="H114">
        <f>D114&amp;F114&amp;G114</f>
        <v/>
      </c>
      <c r="I114">
        <f>E114&amp;F114</f>
        <v/>
      </c>
      <c r="J114" s="1" t="inlineStr">
        <is>
          <t>增城省仓</t>
        </is>
      </c>
      <c r="K114">
        <f>D114&amp;F114</f>
        <v/>
      </c>
    </row>
    <row r="115" hidden="1" s="88">
      <c r="D115" s="1" t="inlineStr">
        <is>
          <t>广东广州市省仓(科捷)</t>
        </is>
      </c>
      <c r="E115" s="1" t="inlineStr">
        <is>
          <t>440</t>
        </is>
      </c>
      <c r="F115" s="2" t="inlineStr">
        <is>
          <t>4450</t>
        </is>
      </c>
      <c r="G115" s="2" t="inlineStr">
        <is>
          <t>2339</t>
        </is>
      </c>
      <c r="H115">
        <f>D115&amp;F115&amp;G115</f>
        <v/>
      </c>
      <c r="I115">
        <f>E115&amp;F115</f>
        <v/>
      </c>
      <c r="J115" s="1" t="inlineStr">
        <is>
          <t>增城省仓</t>
        </is>
      </c>
      <c r="K115">
        <f>D115&amp;F115</f>
        <v/>
      </c>
    </row>
    <row r="116" hidden="1" s="88">
      <c r="D116" s="1" t="inlineStr">
        <is>
          <t>广东广州市省仓(科捷)</t>
        </is>
      </c>
      <c r="E116" s="1" t="inlineStr">
        <is>
          <t>440</t>
        </is>
      </c>
      <c r="F116" s="2" t="inlineStr">
        <is>
          <t>4450</t>
        </is>
      </c>
      <c r="G116" s="2" t="inlineStr">
        <is>
          <t>2340</t>
        </is>
      </c>
      <c r="H116">
        <f>D116&amp;F116&amp;G116</f>
        <v/>
      </c>
      <c r="I116">
        <f>E116&amp;F116</f>
        <v/>
      </c>
      <c r="J116" s="1" t="inlineStr">
        <is>
          <t>增城省仓</t>
        </is>
      </c>
      <c r="K116">
        <f>D116&amp;F116</f>
        <v/>
      </c>
    </row>
    <row r="117" hidden="1" s="88">
      <c r="D117" s="1" t="inlineStr">
        <is>
          <t>广东广州市省仓(科捷)</t>
        </is>
      </c>
      <c r="E117" s="1" t="inlineStr">
        <is>
          <t>440</t>
        </is>
      </c>
      <c r="F117" s="2" t="inlineStr">
        <is>
          <t>4450</t>
        </is>
      </c>
      <c r="G117" s="2" t="inlineStr">
        <is>
          <t>2349</t>
        </is>
      </c>
      <c r="H117">
        <f>D117&amp;F117&amp;G117</f>
        <v/>
      </c>
      <c r="I117">
        <f>E117&amp;F117</f>
        <v/>
      </c>
      <c r="J117" s="1" t="inlineStr">
        <is>
          <t>增城省仓</t>
        </is>
      </c>
      <c r="K117">
        <f>D117&amp;F117</f>
        <v/>
      </c>
    </row>
    <row r="118" hidden="1" s="88">
      <c r="D118" s="1" t="inlineStr">
        <is>
          <t>广东广州市省仓(科捷)</t>
        </is>
      </c>
      <c r="E118" s="1" t="inlineStr">
        <is>
          <t>440</t>
        </is>
      </c>
      <c r="F118" s="2" t="inlineStr">
        <is>
          <t>4450</t>
        </is>
      </c>
      <c r="G118" s="2" t="inlineStr">
        <is>
          <t>2350</t>
        </is>
      </c>
      <c r="H118">
        <f>D118&amp;F118&amp;G118</f>
        <v/>
      </c>
      <c r="I118">
        <f>E118&amp;F118</f>
        <v/>
      </c>
      <c r="J118" s="1" t="inlineStr">
        <is>
          <t>增城省仓</t>
        </is>
      </c>
      <c r="K118">
        <f>D118&amp;F118</f>
        <v/>
      </c>
    </row>
    <row r="119" hidden="1" s="88">
      <c r="D119" s="1" t="inlineStr">
        <is>
          <t>广东广州市省仓(科捷)</t>
        </is>
      </c>
      <c r="E119" s="1" t="inlineStr">
        <is>
          <t>440</t>
        </is>
      </c>
      <c r="F119" s="2" t="inlineStr">
        <is>
          <t>4450</t>
        </is>
      </c>
      <c r="G119" s="2" t="inlineStr">
        <is>
          <t>2351</t>
        </is>
      </c>
      <c r="H119">
        <f>D119&amp;F119&amp;G119</f>
        <v/>
      </c>
      <c r="I119">
        <f>E119&amp;F119</f>
        <v/>
      </c>
      <c r="J119" s="1" t="inlineStr">
        <is>
          <t>增城省仓</t>
        </is>
      </c>
      <c r="K119">
        <f>D119&amp;F119</f>
        <v/>
      </c>
    </row>
    <row r="120" hidden="1" s="88">
      <c r="D120" s="1" t="inlineStr">
        <is>
          <t>广东广州市省仓(科捷)</t>
        </is>
      </c>
      <c r="E120" s="1" t="inlineStr">
        <is>
          <t>440</t>
        </is>
      </c>
      <c r="F120" s="2" t="inlineStr">
        <is>
          <t>4450</t>
        </is>
      </c>
      <c r="G120" s="2" t="inlineStr">
        <is>
          <t>2352</t>
        </is>
      </c>
      <c r="H120">
        <f>D120&amp;F120&amp;G120</f>
        <v/>
      </c>
      <c r="I120">
        <f>E120&amp;F120</f>
        <v/>
      </c>
      <c r="J120" s="1" t="inlineStr">
        <is>
          <t>增城省仓</t>
        </is>
      </c>
      <c r="K120">
        <f>D120&amp;F120</f>
        <v/>
      </c>
    </row>
    <row r="121" hidden="1" s="88">
      <c r="D121" s="1" t="inlineStr">
        <is>
          <t>广东广州市省仓(科捷)</t>
        </is>
      </c>
      <c r="E121" s="1" t="inlineStr">
        <is>
          <t>440</t>
        </is>
      </c>
      <c r="F121" s="2" t="inlineStr">
        <is>
          <t>4450</t>
        </is>
      </c>
      <c r="G121" s="2" t="inlineStr">
        <is>
          <t>2356</t>
        </is>
      </c>
      <c r="H121">
        <f>D121&amp;F121&amp;G121</f>
        <v/>
      </c>
      <c r="I121">
        <f>E121&amp;F121</f>
        <v/>
      </c>
      <c r="J121" s="1" t="inlineStr">
        <is>
          <t>增城省仓</t>
        </is>
      </c>
      <c r="K121">
        <f>D121&amp;F121</f>
        <v/>
      </c>
    </row>
    <row r="122" hidden="1" s="88">
      <c r="D122" s="1" t="inlineStr">
        <is>
          <t>广东广州市省仓(科捷)</t>
        </is>
      </c>
      <c r="E122" s="1" t="inlineStr">
        <is>
          <t>440</t>
        </is>
      </c>
      <c r="F122" s="2" t="inlineStr">
        <is>
          <t>4450</t>
        </is>
      </c>
      <c r="G122" s="2" t="inlineStr">
        <is>
          <t>2357</t>
        </is>
      </c>
      <c r="H122">
        <f>D122&amp;F122&amp;G122</f>
        <v/>
      </c>
      <c r="I122">
        <f>E122&amp;F122</f>
        <v/>
      </c>
      <c r="J122" s="1" t="inlineStr">
        <is>
          <t>增城省仓</t>
        </is>
      </c>
      <c r="K122">
        <f>D122&amp;F122</f>
        <v/>
      </c>
    </row>
    <row r="123" hidden="1" s="88">
      <c r="D123" s="1" t="inlineStr">
        <is>
          <t>广东广州市省仓(科捷)</t>
        </is>
      </c>
      <c r="E123" s="1" t="inlineStr">
        <is>
          <t>440</t>
        </is>
      </c>
      <c r="F123" s="2" t="inlineStr">
        <is>
          <t>4450</t>
        </is>
      </c>
      <c r="G123" s="2" t="inlineStr">
        <is>
          <t>2362</t>
        </is>
      </c>
      <c r="H123">
        <f>D123&amp;F123&amp;G123</f>
        <v/>
      </c>
      <c r="I123">
        <f>E123&amp;F123</f>
        <v/>
      </c>
      <c r="J123" s="1" t="inlineStr">
        <is>
          <t>增城省仓</t>
        </is>
      </c>
      <c r="K123">
        <f>D123&amp;F123</f>
        <v/>
      </c>
    </row>
    <row r="124" hidden="1" s="88">
      <c r="D124" s="1" t="inlineStr">
        <is>
          <t>广东广州市省仓(科捷)</t>
        </is>
      </c>
      <c r="E124" s="1" t="inlineStr">
        <is>
          <t>440</t>
        </is>
      </c>
      <c r="F124" s="2" t="inlineStr">
        <is>
          <t>4450</t>
        </is>
      </c>
      <c r="G124" s="2" t="inlineStr">
        <is>
          <t>S202</t>
        </is>
      </c>
      <c r="H124">
        <f>D124&amp;F124&amp;G124</f>
        <v/>
      </c>
      <c r="I124">
        <f>E124&amp;F124</f>
        <v/>
      </c>
      <c r="J124" s="1" t="inlineStr">
        <is>
          <t>增城省仓</t>
        </is>
      </c>
      <c r="K124">
        <f>D124&amp;F124</f>
        <v/>
      </c>
    </row>
    <row r="125" hidden="1" ht="15.6" customHeight="1" s="88">
      <c r="D125" s="5" t="inlineStr">
        <is>
          <t>广东广州市省仓(科捷)</t>
        </is>
      </c>
      <c r="E125" s="5" t="n">
        <v>440</v>
      </c>
      <c r="F125" s="5" t="n">
        <v>9320</v>
      </c>
      <c r="G125" s="5" t="inlineStr">
        <is>
          <t>SH50</t>
        </is>
      </c>
      <c r="H125">
        <f>D125&amp;F125&amp;G125</f>
        <v/>
      </c>
      <c r="I125">
        <f>E125&amp;F125</f>
        <v/>
      </c>
      <c r="J125" s="3" t="inlineStr">
        <is>
          <t>外部业务</t>
        </is>
      </c>
      <c r="K125">
        <f>D125&amp;F125</f>
        <v/>
      </c>
    </row>
    <row r="126" hidden="1" ht="15.6" customHeight="1" s="88">
      <c r="D126" s="5" t="inlineStr">
        <is>
          <t>广东广州市省仓(科捷)</t>
        </is>
      </c>
      <c r="E126" s="5" t="n">
        <v>440</v>
      </c>
      <c r="F126" s="5" t="n">
        <v>9320</v>
      </c>
      <c r="G126" s="5" t="inlineStr">
        <is>
          <t>SH49</t>
        </is>
      </c>
      <c r="H126">
        <f>D126&amp;F126&amp;G126</f>
        <v/>
      </c>
      <c r="I126">
        <f>E126&amp;F126</f>
        <v/>
      </c>
      <c r="J126" s="3" t="inlineStr">
        <is>
          <t>外部业务</t>
        </is>
      </c>
      <c r="K126">
        <f>D126&amp;F126</f>
        <v/>
      </c>
    </row>
    <row r="127" hidden="1" ht="15.6" customHeight="1" s="88">
      <c r="D127" s="5" t="inlineStr">
        <is>
          <t>广东广州市省仓(科捷)</t>
        </is>
      </c>
      <c r="E127" s="5" t="n">
        <v>440</v>
      </c>
      <c r="F127" s="5" t="n">
        <v>9320</v>
      </c>
      <c r="G127" s="5" t="inlineStr">
        <is>
          <t>SH48</t>
        </is>
      </c>
      <c r="H127">
        <f>D127&amp;F127&amp;G127</f>
        <v/>
      </c>
      <c r="I127">
        <f>E127&amp;F127</f>
        <v/>
      </c>
      <c r="J127" s="3" t="inlineStr">
        <is>
          <t>外部业务</t>
        </is>
      </c>
      <c r="K127">
        <f>D127&amp;F127</f>
        <v/>
      </c>
    </row>
    <row r="128" hidden="1" ht="15.6" customHeight="1" s="88">
      <c r="D128" s="5" t="inlineStr">
        <is>
          <t>广东广州市省仓(科捷)</t>
        </is>
      </c>
      <c r="E128" s="5" t="n">
        <v>440</v>
      </c>
      <c r="F128" s="5" t="n">
        <v>9320</v>
      </c>
      <c r="G128" s="5" t="inlineStr">
        <is>
          <t>SH47</t>
        </is>
      </c>
      <c r="H128">
        <f>D128&amp;F128&amp;G128</f>
        <v/>
      </c>
      <c r="I128">
        <f>E128&amp;F128</f>
        <v/>
      </c>
      <c r="J128" s="3" t="inlineStr">
        <is>
          <t>外部业务</t>
        </is>
      </c>
      <c r="K128">
        <f>D128&amp;F128</f>
        <v/>
      </c>
    </row>
    <row r="129" hidden="1" ht="15.6" customHeight="1" s="88">
      <c r="D129" s="5" t="inlineStr">
        <is>
          <t>广东广州市省仓(科捷)</t>
        </is>
      </c>
      <c r="E129" s="5" t="n">
        <v>440</v>
      </c>
      <c r="F129" s="5" t="n">
        <v>9320</v>
      </c>
      <c r="G129" s="5" t="inlineStr">
        <is>
          <t>SH46</t>
        </is>
      </c>
      <c r="H129">
        <f>D129&amp;F129&amp;G129</f>
        <v/>
      </c>
      <c r="I129">
        <f>E129&amp;F129</f>
        <v/>
      </c>
      <c r="J129" s="3" t="inlineStr">
        <is>
          <t>外部业务</t>
        </is>
      </c>
      <c r="K129">
        <f>D129&amp;F129</f>
        <v/>
      </c>
    </row>
    <row r="130" hidden="1" ht="15.6" customHeight="1" s="88">
      <c r="D130" s="5" t="inlineStr">
        <is>
          <t>广东广州市省仓(科捷)</t>
        </is>
      </c>
      <c r="E130" s="5" t="n">
        <v>440</v>
      </c>
      <c r="F130" s="5" t="n">
        <v>9320</v>
      </c>
      <c r="G130" s="5" t="inlineStr">
        <is>
          <t>SH45</t>
        </is>
      </c>
      <c r="H130">
        <f>D130&amp;F130&amp;G130</f>
        <v/>
      </c>
      <c r="I130">
        <f>E130&amp;F130</f>
        <v/>
      </c>
      <c r="J130" s="3" t="inlineStr">
        <is>
          <t>外部业务</t>
        </is>
      </c>
      <c r="K130">
        <f>D130&amp;F130</f>
        <v/>
      </c>
    </row>
    <row r="131" hidden="1" ht="15.6" customHeight="1" s="88">
      <c r="D131" s="5" t="inlineStr">
        <is>
          <t>广东广州市省仓(科捷)</t>
        </is>
      </c>
      <c r="E131" s="5" t="n">
        <v>440</v>
      </c>
      <c r="F131" s="5" t="n">
        <v>9320</v>
      </c>
      <c r="G131" s="5" t="inlineStr">
        <is>
          <t>SH44</t>
        </is>
      </c>
      <c r="H131">
        <f>D131&amp;F131&amp;G131</f>
        <v/>
      </c>
      <c r="I131">
        <f>E131&amp;F131</f>
        <v/>
      </c>
      <c r="J131" s="3" t="inlineStr">
        <is>
          <t>外部业务</t>
        </is>
      </c>
      <c r="K131">
        <f>D131&amp;F131</f>
        <v/>
      </c>
    </row>
    <row r="132" hidden="1" ht="15.6" customHeight="1" s="88">
      <c r="D132" s="5" t="inlineStr">
        <is>
          <t>广东广州市省仓(科捷)</t>
        </is>
      </c>
      <c r="E132" s="5" t="n">
        <v>440</v>
      </c>
      <c r="F132" s="5" t="n">
        <v>9320</v>
      </c>
      <c r="G132" s="5" t="inlineStr">
        <is>
          <t>SH43</t>
        </is>
      </c>
      <c r="H132">
        <f>D132&amp;F132&amp;G132</f>
        <v/>
      </c>
      <c r="I132">
        <f>E132&amp;F132</f>
        <v/>
      </c>
      <c r="J132" s="3" t="inlineStr">
        <is>
          <t>外部业务</t>
        </is>
      </c>
      <c r="K132">
        <f>D132&amp;F132</f>
        <v/>
      </c>
    </row>
    <row r="133" hidden="1" ht="15.6" customHeight="1" s="88">
      <c r="D133" s="5" t="inlineStr">
        <is>
          <t>广东广州市省仓(科捷)</t>
        </is>
      </c>
      <c r="E133" s="5" t="n">
        <v>440</v>
      </c>
      <c r="F133" s="5" t="n">
        <v>9320</v>
      </c>
      <c r="G133" s="5" t="inlineStr">
        <is>
          <t>SH42</t>
        </is>
      </c>
      <c r="H133">
        <f>D133&amp;F133&amp;G133</f>
        <v/>
      </c>
      <c r="I133">
        <f>E133&amp;F133</f>
        <v/>
      </c>
      <c r="J133" s="3" t="inlineStr">
        <is>
          <t>外部业务</t>
        </is>
      </c>
      <c r="K133">
        <f>D133&amp;F133</f>
        <v/>
      </c>
    </row>
    <row r="134" hidden="1" ht="15.6" customHeight="1" s="88">
      <c r="D134" s="5" t="inlineStr">
        <is>
          <t>广东广州市省仓(科捷)</t>
        </is>
      </c>
      <c r="E134" s="5" t="n">
        <v>440</v>
      </c>
      <c r="F134" s="5" t="n">
        <v>9320</v>
      </c>
      <c r="G134" s="5" t="inlineStr">
        <is>
          <t>SH41</t>
        </is>
      </c>
      <c r="H134">
        <f>D134&amp;F134&amp;G134</f>
        <v/>
      </c>
      <c r="I134">
        <f>E134&amp;F134</f>
        <v/>
      </c>
      <c r="J134" s="3" t="inlineStr">
        <is>
          <t>外部业务</t>
        </is>
      </c>
      <c r="K134">
        <f>D134&amp;F134</f>
        <v/>
      </c>
    </row>
    <row r="135" hidden="1" ht="15.6" customHeight="1" s="88">
      <c r="D135" s="5" t="inlineStr">
        <is>
          <t>广东广州市省仓(科捷)</t>
        </is>
      </c>
      <c r="E135" s="5" t="n">
        <v>440</v>
      </c>
      <c r="F135" s="5" t="n">
        <v>9320</v>
      </c>
      <c r="G135" s="5" t="inlineStr">
        <is>
          <t>SH40</t>
        </is>
      </c>
      <c r="H135">
        <f>D135&amp;F135&amp;G135</f>
        <v/>
      </c>
      <c r="I135">
        <f>E135&amp;F135</f>
        <v/>
      </c>
      <c r="J135" s="3" t="inlineStr">
        <is>
          <t>外部业务</t>
        </is>
      </c>
      <c r="K135">
        <f>D135&amp;F135</f>
        <v/>
      </c>
    </row>
    <row r="136" hidden="1" ht="15.6" customHeight="1" s="88">
      <c r="D136" s="5" t="inlineStr">
        <is>
          <t>广东广州市省仓(科捷)</t>
        </is>
      </c>
      <c r="E136" s="5" t="n">
        <v>440</v>
      </c>
      <c r="F136" s="5" t="n">
        <v>9320</v>
      </c>
      <c r="G136" s="5" t="inlineStr">
        <is>
          <t>SH39</t>
        </is>
      </c>
      <c r="H136">
        <f>D136&amp;F136&amp;G136</f>
        <v/>
      </c>
      <c r="I136">
        <f>E136&amp;F136</f>
        <v/>
      </c>
      <c r="J136" s="3" t="inlineStr">
        <is>
          <t>外部业务</t>
        </is>
      </c>
      <c r="K136">
        <f>D136&amp;F136</f>
        <v/>
      </c>
    </row>
    <row r="137" hidden="1" ht="15.6" customHeight="1" s="88">
      <c r="D137" s="5" t="inlineStr">
        <is>
          <t>广东广州市省仓(科捷)</t>
        </is>
      </c>
      <c r="E137" s="5" t="n">
        <v>440</v>
      </c>
      <c r="F137" s="5" t="n">
        <v>9320</v>
      </c>
      <c r="G137" s="5" t="inlineStr">
        <is>
          <t>SH38</t>
        </is>
      </c>
      <c r="H137">
        <f>D137&amp;F137&amp;G137</f>
        <v/>
      </c>
      <c r="I137">
        <f>E137&amp;F137</f>
        <v/>
      </c>
      <c r="J137" s="3" t="inlineStr">
        <is>
          <t>外部业务</t>
        </is>
      </c>
      <c r="K137">
        <f>D137&amp;F137</f>
        <v/>
      </c>
    </row>
    <row r="138" hidden="1" ht="15.6" customHeight="1" s="88">
      <c r="D138" s="5" t="inlineStr">
        <is>
          <t>广东广州市省仓(科捷)</t>
        </is>
      </c>
      <c r="E138" s="5" t="n">
        <v>440</v>
      </c>
      <c r="F138" s="5" t="n">
        <v>9320</v>
      </c>
      <c r="G138" s="5" t="inlineStr">
        <is>
          <t>SH37</t>
        </is>
      </c>
      <c r="H138">
        <f>D138&amp;F138&amp;G138</f>
        <v/>
      </c>
      <c r="I138">
        <f>E138&amp;F138</f>
        <v/>
      </c>
      <c r="J138" s="3" t="inlineStr">
        <is>
          <t>外部业务</t>
        </is>
      </c>
      <c r="K138">
        <f>D138&amp;F138</f>
        <v/>
      </c>
    </row>
    <row r="139" hidden="1" ht="15.6" customHeight="1" s="88">
      <c r="D139" s="5" t="inlineStr">
        <is>
          <t>广东广州市省仓(科捷)</t>
        </is>
      </c>
      <c r="E139" s="5" t="n">
        <v>440</v>
      </c>
      <c r="F139" s="5" t="n">
        <v>9320</v>
      </c>
      <c r="G139" s="5" t="inlineStr">
        <is>
          <t>SH36</t>
        </is>
      </c>
      <c r="H139">
        <f>D139&amp;F139&amp;G139</f>
        <v/>
      </c>
      <c r="I139">
        <f>E139&amp;F139</f>
        <v/>
      </c>
      <c r="J139" s="3" t="inlineStr">
        <is>
          <t>外部业务</t>
        </is>
      </c>
      <c r="K139">
        <f>D139&amp;F139</f>
        <v/>
      </c>
    </row>
    <row r="140" hidden="1" ht="15.6" customHeight="1" s="88">
      <c r="D140" s="5" t="inlineStr">
        <is>
          <t>广东广州市省仓(科捷)</t>
        </is>
      </c>
      <c r="E140" s="5" t="n">
        <v>440</v>
      </c>
      <c r="F140" s="5" t="n">
        <v>9320</v>
      </c>
      <c r="G140" s="5" t="inlineStr">
        <is>
          <t>SH35</t>
        </is>
      </c>
      <c r="H140">
        <f>D140&amp;F140&amp;G140</f>
        <v/>
      </c>
      <c r="I140">
        <f>E140&amp;F140</f>
        <v/>
      </c>
      <c r="J140" s="3" t="inlineStr">
        <is>
          <t>外部业务</t>
        </is>
      </c>
      <c r="K140">
        <f>D140&amp;F140</f>
        <v/>
      </c>
    </row>
    <row r="141" hidden="1" ht="15.6" customHeight="1" s="88">
      <c r="D141" s="5" t="inlineStr">
        <is>
          <t>广东广州市省仓(科捷)</t>
        </is>
      </c>
      <c r="E141" s="5" t="n">
        <v>440</v>
      </c>
      <c r="F141" s="5" t="n">
        <v>9320</v>
      </c>
      <c r="G141" s="5" t="inlineStr">
        <is>
          <t>SH34</t>
        </is>
      </c>
      <c r="H141">
        <f>D141&amp;F141&amp;G141</f>
        <v/>
      </c>
      <c r="I141">
        <f>E141&amp;F141</f>
        <v/>
      </c>
      <c r="J141" s="3" t="inlineStr">
        <is>
          <t>外部业务</t>
        </is>
      </c>
      <c r="K141">
        <f>D141&amp;F141</f>
        <v/>
      </c>
    </row>
    <row r="142" hidden="1" ht="15.6" customHeight="1" s="88">
      <c r="D142" s="5" t="inlineStr">
        <is>
          <t>广东广州市省仓(科捷)</t>
        </is>
      </c>
      <c r="E142" s="5" t="n">
        <v>440</v>
      </c>
      <c r="F142" s="5" t="n">
        <v>9320</v>
      </c>
      <c r="G142" s="5" t="inlineStr">
        <is>
          <t>SH33</t>
        </is>
      </c>
      <c r="H142">
        <f>D142&amp;F142&amp;G142</f>
        <v/>
      </c>
      <c r="I142">
        <f>E142&amp;F142</f>
        <v/>
      </c>
      <c r="J142" s="3" t="inlineStr">
        <is>
          <t>外部业务</t>
        </is>
      </c>
      <c r="K142">
        <f>D142&amp;F142</f>
        <v/>
      </c>
    </row>
    <row r="143" hidden="1" ht="15.6" customHeight="1" s="88">
      <c r="D143" s="5" t="inlineStr">
        <is>
          <t>广东广州市省仓(科捷)</t>
        </is>
      </c>
      <c r="E143" s="5" t="n">
        <v>440</v>
      </c>
      <c r="F143" s="5" t="n">
        <v>9320</v>
      </c>
      <c r="G143" s="5" t="inlineStr">
        <is>
          <t>SH32</t>
        </is>
      </c>
      <c r="H143">
        <f>D143&amp;F143&amp;G143</f>
        <v/>
      </c>
      <c r="I143">
        <f>E143&amp;F143</f>
        <v/>
      </c>
      <c r="J143" s="3" t="inlineStr">
        <is>
          <t>外部业务</t>
        </is>
      </c>
      <c r="K143">
        <f>D143&amp;F143</f>
        <v/>
      </c>
    </row>
    <row r="144" hidden="1" ht="15.6" customHeight="1" s="88">
      <c r="D144" s="5" t="inlineStr">
        <is>
          <t>广东广州市省仓(科捷)</t>
        </is>
      </c>
      <c r="E144" s="5" t="n">
        <v>440</v>
      </c>
      <c r="F144" s="5" t="n">
        <v>9320</v>
      </c>
      <c r="G144" s="5" t="inlineStr">
        <is>
          <t>SH31</t>
        </is>
      </c>
      <c r="H144">
        <f>D144&amp;F144&amp;G144</f>
        <v/>
      </c>
      <c r="I144">
        <f>E144&amp;F144</f>
        <v/>
      </c>
      <c r="J144" s="3" t="inlineStr">
        <is>
          <t>外部业务</t>
        </is>
      </c>
      <c r="K144">
        <f>D144&amp;F144</f>
        <v/>
      </c>
    </row>
    <row r="145" hidden="1" ht="15.6" customHeight="1" s="88">
      <c r="D145" s="5" t="inlineStr">
        <is>
          <t>广东广州市省仓(科捷)</t>
        </is>
      </c>
      <c r="E145" s="5" t="n">
        <v>440</v>
      </c>
      <c r="F145" s="5" t="n">
        <v>9320</v>
      </c>
      <c r="G145" s="5" t="inlineStr">
        <is>
          <t>SH30</t>
        </is>
      </c>
      <c r="H145">
        <f>D145&amp;F145&amp;G145</f>
        <v/>
      </c>
      <c r="I145">
        <f>E145&amp;F145</f>
        <v/>
      </c>
      <c r="J145" s="3" t="inlineStr">
        <is>
          <t>外部业务</t>
        </is>
      </c>
      <c r="K145">
        <f>D145&amp;F145</f>
        <v/>
      </c>
    </row>
    <row r="146" hidden="1" ht="15.6" customHeight="1" s="88">
      <c r="D146" s="5" t="inlineStr">
        <is>
          <t>广东广州市省仓(科捷)</t>
        </is>
      </c>
      <c r="E146" s="5" t="n">
        <v>440</v>
      </c>
      <c r="F146" s="5" t="n">
        <v>9320</v>
      </c>
      <c r="G146" s="5" t="inlineStr">
        <is>
          <t>SH21</t>
        </is>
      </c>
      <c r="H146">
        <f>D146&amp;F146&amp;G146</f>
        <v/>
      </c>
      <c r="I146">
        <f>E146&amp;F146</f>
        <v/>
      </c>
      <c r="J146" s="3" t="inlineStr">
        <is>
          <t>外部业务</t>
        </is>
      </c>
      <c r="K146">
        <f>D146&amp;F146</f>
        <v/>
      </c>
    </row>
    <row r="147" hidden="1" ht="15.6" customHeight="1" s="88">
      <c r="D147" s="5" t="inlineStr">
        <is>
          <t>广东广州市省仓(科捷)</t>
        </is>
      </c>
      <c r="E147" s="5" t="n">
        <v>440</v>
      </c>
      <c r="F147" s="5" t="n">
        <v>9320</v>
      </c>
      <c r="G147" s="5" t="inlineStr">
        <is>
          <t>SH20</t>
        </is>
      </c>
      <c r="H147">
        <f>D147&amp;F147&amp;G147</f>
        <v/>
      </c>
      <c r="I147">
        <f>E147&amp;F147</f>
        <v/>
      </c>
      <c r="J147" s="3" t="inlineStr">
        <is>
          <t>外部业务</t>
        </is>
      </c>
      <c r="K147">
        <f>D147&amp;F147</f>
        <v/>
      </c>
    </row>
    <row r="148" hidden="1" ht="15.6" customHeight="1" s="88">
      <c r="D148" s="5" t="inlineStr">
        <is>
          <t>广东广州市省仓(科捷)</t>
        </is>
      </c>
      <c r="E148" s="5" t="n">
        <v>440</v>
      </c>
      <c r="F148" s="5" t="n">
        <v>9320</v>
      </c>
      <c r="G148" s="5" t="inlineStr">
        <is>
          <t>SH19</t>
        </is>
      </c>
      <c r="H148">
        <f>D148&amp;F148&amp;G148</f>
        <v/>
      </c>
      <c r="I148">
        <f>E148&amp;F148</f>
        <v/>
      </c>
      <c r="J148" s="3" t="inlineStr">
        <is>
          <t>外部业务</t>
        </is>
      </c>
      <c r="K148">
        <f>D148&amp;F148</f>
        <v/>
      </c>
    </row>
    <row r="149" hidden="1" ht="15.6" customHeight="1" s="88">
      <c r="D149" s="5" t="inlineStr">
        <is>
          <t>广东广州市省仓(科捷)</t>
        </is>
      </c>
      <c r="E149" s="5" t="n">
        <v>440</v>
      </c>
      <c r="F149" s="5" t="n">
        <v>9320</v>
      </c>
      <c r="G149" s="5" t="inlineStr">
        <is>
          <t>SH18</t>
        </is>
      </c>
      <c r="H149">
        <f>D149&amp;F149&amp;G149</f>
        <v/>
      </c>
      <c r="I149">
        <f>E149&amp;F149</f>
        <v/>
      </c>
      <c r="J149" s="3" t="inlineStr">
        <is>
          <t>外部业务</t>
        </is>
      </c>
      <c r="K149">
        <f>D149&amp;F149</f>
        <v/>
      </c>
    </row>
    <row r="150" hidden="1" ht="15.6" customHeight="1" s="88">
      <c r="D150" s="5" t="inlineStr">
        <is>
          <t>广东广州市省仓(科捷)</t>
        </is>
      </c>
      <c r="E150" s="5" t="n">
        <v>440</v>
      </c>
      <c r="F150" s="5" t="n">
        <v>9320</v>
      </c>
      <c r="G150" s="5" t="inlineStr">
        <is>
          <t>SH17</t>
        </is>
      </c>
      <c r="H150">
        <f>D150&amp;F150&amp;G150</f>
        <v/>
      </c>
      <c r="I150">
        <f>E150&amp;F150</f>
        <v/>
      </c>
      <c r="J150" s="3" t="inlineStr">
        <is>
          <t>外部业务</t>
        </is>
      </c>
      <c r="K150">
        <f>D150&amp;F150</f>
        <v/>
      </c>
    </row>
    <row r="151" hidden="1" ht="15.6" customHeight="1" s="88">
      <c r="D151" s="5" t="inlineStr">
        <is>
          <t>广东广州市省仓(科捷)</t>
        </is>
      </c>
      <c r="E151" s="5" t="n">
        <v>440</v>
      </c>
      <c r="F151" s="5" t="n">
        <v>9320</v>
      </c>
      <c r="G151" s="5" t="inlineStr">
        <is>
          <t>SH16</t>
        </is>
      </c>
      <c r="H151">
        <f>D151&amp;F151&amp;G151</f>
        <v/>
      </c>
      <c r="I151">
        <f>E151&amp;F151</f>
        <v/>
      </c>
      <c r="J151" s="3" t="inlineStr">
        <is>
          <t>外部业务</t>
        </is>
      </c>
      <c r="K151">
        <f>D151&amp;F151</f>
        <v/>
      </c>
    </row>
    <row r="152" hidden="1" ht="15.6" customHeight="1" s="88">
      <c r="D152" s="5" t="inlineStr">
        <is>
          <t>广东广州市省仓(科捷)</t>
        </is>
      </c>
      <c r="E152" s="5" t="n">
        <v>440</v>
      </c>
      <c r="F152" s="5" t="n">
        <v>9320</v>
      </c>
      <c r="G152" s="5" t="inlineStr">
        <is>
          <t>SH15</t>
        </is>
      </c>
      <c r="H152">
        <f>D152&amp;F152&amp;G152</f>
        <v/>
      </c>
      <c r="I152">
        <f>E152&amp;F152</f>
        <v/>
      </c>
      <c r="J152" s="3" t="inlineStr">
        <is>
          <t>外部业务</t>
        </is>
      </c>
      <c r="K152">
        <f>D152&amp;F152</f>
        <v/>
      </c>
    </row>
    <row r="153" hidden="1" ht="15.6" customHeight="1" s="88">
      <c r="D153" s="5" t="inlineStr">
        <is>
          <t>广东广州市省仓(科捷)</t>
        </is>
      </c>
      <c r="E153" s="5" t="n">
        <v>440</v>
      </c>
      <c r="F153" s="5" t="n">
        <v>9320</v>
      </c>
      <c r="G153" s="5" t="inlineStr">
        <is>
          <t>SH14</t>
        </is>
      </c>
      <c r="H153">
        <f>D153&amp;F153&amp;G153</f>
        <v/>
      </c>
      <c r="I153">
        <f>E153&amp;F153</f>
        <v/>
      </c>
      <c r="J153" s="3" t="inlineStr">
        <is>
          <t>外部业务</t>
        </is>
      </c>
      <c r="K153">
        <f>D153&amp;F153</f>
        <v/>
      </c>
    </row>
    <row r="154" hidden="1" ht="15.6" customHeight="1" s="88">
      <c r="D154" s="5" t="inlineStr">
        <is>
          <t>广东广州市省仓(科捷)</t>
        </is>
      </c>
      <c r="E154" s="5" t="n">
        <v>440</v>
      </c>
      <c r="F154" s="5" t="n">
        <v>9320</v>
      </c>
      <c r="G154" s="5" t="inlineStr">
        <is>
          <t>SH13</t>
        </is>
      </c>
      <c r="H154">
        <f>D154&amp;F154&amp;G154</f>
        <v/>
      </c>
      <c r="I154">
        <f>E154&amp;F154</f>
        <v/>
      </c>
      <c r="J154" s="3" t="inlineStr">
        <is>
          <t>外部业务</t>
        </is>
      </c>
      <c r="K154">
        <f>D154&amp;F154</f>
        <v/>
      </c>
    </row>
    <row r="155" hidden="1" ht="15.6" customHeight="1" s="88">
      <c r="D155" s="5" t="inlineStr">
        <is>
          <t>广东广州市省仓(科捷)</t>
        </is>
      </c>
      <c r="E155" s="5" t="n">
        <v>440</v>
      </c>
      <c r="F155" s="5" t="n">
        <v>9320</v>
      </c>
      <c r="G155" s="5" t="inlineStr">
        <is>
          <t>SH12</t>
        </is>
      </c>
      <c r="H155">
        <f>D155&amp;F155&amp;G155</f>
        <v/>
      </c>
      <c r="I155">
        <f>E155&amp;F155</f>
        <v/>
      </c>
      <c r="J155" s="3" t="inlineStr">
        <is>
          <t>外部业务</t>
        </is>
      </c>
      <c r="K155">
        <f>D155&amp;F155</f>
        <v/>
      </c>
    </row>
    <row r="156" hidden="1" ht="15.6" customHeight="1" s="88">
      <c r="D156" s="5" t="inlineStr">
        <is>
          <t>广东广州市省仓(科捷)</t>
        </is>
      </c>
      <c r="E156" s="5" t="n">
        <v>440</v>
      </c>
      <c r="F156" s="5" t="n">
        <v>9320</v>
      </c>
      <c r="G156" s="5" t="inlineStr">
        <is>
          <t>SH11</t>
        </is>
      </c>
      <c r="H156">
        <f>D156&amp;F156&amp;G156</f>
        <v/>
      </c>
      <c r="I156">
        <f>E156&amp;F156</f>
        <v/>
      </c>
      <c r="J156" s="3" t="inlineStr">
        <is>
          <t>外部业务</t>
        </is>
      </c>
      <c r="K156">
        <f>D156&amp;F156</f>
        <v/>
      </c>
    </row>
    <row r="157" hidden="1" ht="15.6" customHeight="1" s="88">
      <c r="D157" s="5" t="inlineStr">
        <is>
          <t>广东广州市省仓(科捷)</t>
        </is>
      </c>
      <c r="E157" s="5" t="n">
        <v>440</v>
      </c>
      <c r="F157" s="5" t="n">
        <v>9320</v>
      </c>
      <c r="G157" s="5" t="inlineStr">
        <is>
          <t>SH10</t>
        </is>
      </c>
      <c r="H157">
        <f>D157&amp;F157&amp;G157</f>
        <v/>
      </c>
      <c r="I157">
        <f>E157&amp;F157</f>
        <v/>
      </c>
      <c r="J157" s="3" t="inlineStr">
        <is>
          <t>外部业务</t>
        </is>
      </c>
      <c r="K157">
        <f>D157&amp;F157</f>
        <v/>
      </c>
    </row>
    <row r="158" hidden="1" ht="15.6" customHeight="1" s="88">
      <c r="D158" s="5" t="inlineStr">
        <is>
          <t>广东广州市省仓(科捷)</t>
        </is>
      </c>
      <c r="E158" s="5" t="n">
        <v>440</v>
      </c>
      <c r="F158" s="5" t="n">
        <v>9320</v>
      </c>
      <c r="G158" s="5" t="inlineStr">
        <is>
          <t>SH09</t>
        </is>
      </c>
      <c r="H158">
        <f>D158&amp;F158&amp;G158</f>
        <v/>
      </c>
      <c r="I158">
        <f>E158&amp;F158</f>
        <v/>
      </c>
      <c r="J158" s="3" t="inlineStr">
        <is>
          <t>外部业务</t>
        </is>
      </c>
      <c r="K158">
        <f>D158&amp;F158</f>
        <v/>
      </c>
    </row>
    <row r="159" hidden="1" ht="15.6" customHeight="1" s="88">
      <c r="D159" s="5" t="inlineStr">
        <is>
          <t>广东广州市省仓(科捷)</t>
        </is>
      </c>
      <c r="E159" s="5" t="n">
        <v>440</v>
      </c>
      <c r="F159" s="5" t="n">
        <v>9320</v>
      </c>
      <c r="G159" s="5" t="inlineStr">
        <is>
          <t>SH08</t>
        </is>
      </c>
      <c r="H159">
        <f>D159&amp;F159&amp;G159</f>
        <v/>
      </c>
      <c r="I159">
        <f>E159&amp;F159</f>
        <v/>
      </c>
      <c r="J159" s="3" t="inlineStr">
        <is>
          <t>外部业务</t>
        </is>
      </c>
      <c r="K159">
        <f>D159&amp;F159</f>
        <v/>
      </c>
    </row>
    <row r="160" hidden="1" ht="15.6" customHeight="1" s="88">
      <c r="D160" s="5" t="inlineStr">
        <is>
          <t>广东广州市省仓(科捷)</t>
        </is>
      </c>
      <c r="E160" s="5" t="n">
        <v>440</v>
      </c>
      <c r="F160" s="5" t="n">
        <v>9320</v>
      </c>
      <c r="G160" s="5" t="inlineStr">
        <is>
          <t>SH07</t>
        </is>
      </c>
      <c r="H160">
        <f>D160&amp;F160&amp;G160</f>
        <v/>
      </c>
      <c r="I160">
        <f>E160&amp;F160</f>
        <v/>
      </c>
      <c r="J160" s="3" t="inlineStr">
        <is>
          <t>外部业务</t>
        </is>
      </c>
      <c r="K160">
        <f>D160&amp;F160</f>
        <v/>
      </c>
    </row>
    <row r="161" hidden="1" ht="15.6" customHeight="1" s="88">
      <c r="D161" s="5" t="inlineStr">
        <is>
          <t>广东广州市省仓(科捷)</t>
        </is>
      </c>
      <c r="E161" s="5" t="n">
        <v>440</v>
      </c>
      <c r="F161" s="5" t="n">
        <v>9320</v>
      </c>
      <c r="G161" s="5" t="inlineStr">
        <is>
          <t>SH06</t>
        </is>
      </c>
      <c r="H161">
        <f>D161&amp;F161&amp;G161</f>
        <v/>
      </c>
      <c r="I161">
        <f>E161&amp;F161</f>
        <v/>
      </c>
      <c r="J161" s="3" t="inlineStr">
        <is>
          <t>外部业务</t>
        </is>
      </c>
      <c r="K161">
        <f>D161&amp;F161</f>
        <v/>
      </c>
    </row>
    <row r="162" hidden="1" ht="15.6" customHeight="1" s="88">
      <c r="D162" s="5" t="inlineStr">
        <is>
          <t>广东广州市省仓(科捷)</t>
        </is>
      </c>
      <c r="E162" s="5" t="n">
        <v>440</v>
      </c>
      <c r="F162" s="5" t="n">
        <v>9320</v>
      </c>
      <c r="G162" s="5" t="inlineStr">
        <is>
          <t>SH05</t>
        </is>
      </c>
      <c r="H162">
        <f>D162&amp;F162&amp;G162</f>
        <v/>
      </c>
      <c r="I162">
        <f>E162&amp;F162</f>
        <v/>
      </c>
      <c r="J162" s="3" t="inlineStr">
        <is>
          <t>外部业务</t>
        </is>
      </c>
      <c r="K162">
        <f>D162&amp;F162</f>
        <v/>
      </c>
    </row>
    <row r="163" hidden="1" ht="15.6" customHeight="1" s="88">
      <c r="D163" s="5" t="inlineStr">
        <is>
          <t>广东广州市省仓(科捷)</t>
        </is>
      </c>
      <c r="E163" s="5" t="n">
        <v>440</v>
      </c>
      <c r="F163" s="5" t="n">
        <v>9320</v>
      </c>
      <c r="G163" s="5" t="inlineStr">
        <is>
          <t>SH04</t>
        </is>
      </c>
      <c r="H163">
        <f>D163&amp;F163&amp;G163</f>
        <v/>
      </c>
      <c r="I163">
        <f>E163&amp;F163</f>
        <v/>
      </c>
      <c r="J163" s="3" t="inlineStr">
        <is>
          <t>外部业务</t>
        </is>
      </c>
      <c r="K163">
        <f>D163&amp;F163</f>
        <v/>
      </c>
    </row>
    <row r="164" hidden="1" ht="15.6" customHeight="1" s="88">
      <c r="D164" s="5" t="inlineStr">
        <is>
          <t>广东广州市省仓(科捷)</t>
        </is>
      </c>
      <c r="E164" s="5" t="n">
        <v>440</v>
      </c>
      <c r="F164" s="5" t="n">
        <v>9320</v>
      </c>
      <c r="G164" s="5" t="inlineStr">
        <is>
          <t>SH03</t>
        </is>
      </c>
      <c r="H164">
        <f>D164&amp;F164&amp;G164</f>
        <v/>
      </c>
      <c r="I164">
        <f>E164&amp;F164</f>
        <v/>
      </c>
      <c r="J164" s="3" t="inlineStr">
        <is>
          <t>外部业务</t>
        </is>
      </c>
      <c r="K164">
        <f>D164&amp;F164</f>
        <v/>
      </c>
    </row>
    <row r="165" hidden="1" ht="15.6" customHeight="1" s="88">
      <c r="D165" s="5" t="inlineStr">
        <is>
          <t>广东广州市省仓(科捷)</t>
        </is>
      </c>
      <c r="E165" s="5" t="n">
        <v>440</v>
      </c>
      <c r="F165" s="5" t="n">
        <v>9320</v>
      </c>
      <c r="G165" s="5" t="inlineStr">
        <is>
          <t>SH02</t>
        </is>
      </c>
      <c r="H165">
        <f>D165&amp;F165&amp;G165</f>
        <v/>
      </c>
      <c r="I165">
        <f>E165&amp;F165</f>
        <v/>
      </c>
      <c r="J165" s="3" t="inlineStr">
        <is>
          <t>外部业务</t>
        </is>
      </c>
      <c r="K165">
        <f>D165&amp;F165</f>
        <v/>
      </c>
    </row>
    <row r="166" hidden="1" ht="15.6" customHeight="1" s="88">
      <c r="D166" s="5" t="inlineStr">
        <is>
          <t>广东广州市省仓(科捷)</t>
        </is>
      </c>
      <c r="E166" s="5" t="n">
        <v>440</v>
      </c>
      <c r="F166" s="5" t="n">
        <v>9320</v>
      </c>
      <c r="G166" s="5" t="inlineStr">
        <is>
          <t>SH01</t>
        </is>
      </c>
      <c r="H166">
        <f>D166&amp;F166&amp;G166</f>
        <v/>
      </c>
      <c r="I166">
        <f>E166&amp;F166</f>
        <v/>
      </c>
      <c r="J166" s="3" t="inlineStr">
        <is>
          <t>外部业务</t>
        </is>
      </c>
      <c r="K166">
        <f>D166&amp;F166</f>
        <v/>
      </c>
    </row>
    <row r="167" hidden="1" ht="14.4" customHeight="1" s="88">
      <c r="D167" s="6" t="inlineStr">
        <is>
          <t>广东VIVO南沙专仓</t>
        </is>
      </c>
      <c r="E167" t="n">
        <v>445</v>
      </c>
      <c r="F167" s="6" t="inlineStr">
        <is>
          <t>4400</t>
        </is>
      </c>
      <c r="G167" s="6" t="inlineStr">
        <is>
          <t>2376</t>
        </is>
      </c>
      <c r="H167" s="6">
        <f>D167&amp;F167&amp;G167</f>
        <v/>
      </c>
      <c r="I167">
        <f>E167&amp;F167</f>
        <v/>
      </c>
      <c r="J167" s="6" t="inlineStr">
        <is>
          <t>南沙省仓</t>
        </is>
      </c>
      <c r="K167">
        <f>D167&amp;F167</f>
        <v/>
      </c>
    </row>
    <row r="168" hidden="1" ht="14.4" customHeight="1" s="88">
      <c r="D168" s="6" t="inlineStr">
        <is>
          <t>广东VIVO南沙专仓</t>
        </is>
      </c>
      <c r="E168" t="n">
        <v>445</v>
      </c>
      <c r="F168" s="6" t="inlineStr">
        <is>
          <t>4400</t>
        </is>
      </c>
      <c r="G168" s="6" t="inlineStr">
        <is>
          <t>2370</t>
        </is>
      </c>
      <c r="H168" s="6">
        <f>D168&amp;F168&amp;G168</f>
        <v/>
      </c>
      <c r="I168">
        <f>E168&amp;F168</f>
        <v/>
      </c>
      <c r="J168" s="6" t="inlineStr">
        <is>
          <t>南沙省仓</t>
        </is>
      </c>
      <c r="K168">
        <f>D168&amp;F168</f>
        <v/>
      </c>
    </row>
    <row r="169" hidden="1" ht="14.4" customHeight="1" s="88">
      <c r="D169" s="6" t="inlineStr">
        <is>
          <t>广东VIVO南沙专仓</t>
        </is>
      </c>
      <c r="E169" t="n">
        <v>445</v>
      </c>
      <c r="F169" s="6" t="inlineStr">
        <is>
          <t>4450</t>
        </is>
      </c>
      <c r="G169" s="6" t="inlineStr">
        <is>
          <t>2325</t>
        </is>
      </c>
      <c r="H169" s="6">
        <f>D169&amp;F169&amp;G169</f>
        <v/>
      </c>
      <c r="I169">
        <f>E169&amp;F169</f>
        <v/>
      </c>
      <c r="J169" s="6" t="inlineStr">
        <is>
          <t>南沙省仓</t>
        </is>
      </c>
      <c r="K169">
        <f>D169&amp;F169</f>
        <v/>
      </c>
    </row>
    <row r="170" hidden="1" ht="14.4" customHeight="1" s="88">
      <c r="D170" s="6" t="inlineStr">
        <is>
          <t>终端公司中珠中山仓</t>
        </is>
      </c>
      <c r="E170" t="n">
        <v>448</v>
      </c>
      <c r="F170" s="6" t="inlineStr">
        <is>
          <t>4400</t>
        </is>
      </c>
      <c r="G170" s="6" t="inlineStr">
        <is>
          <t>2380</t>
        </is>
      </c>
      <c r="H170" s="6">
        <f>D170&amp;F170&amp;G170</f>
        <v/>
      </c>
      <c r="I170">
        <f>E170&amp;F170</f>
        <v/>
      </c>
      <c r="J170" s="6" t="inlineStr">
        <is>
          <t>中珠省仓</t>
        </is>
      </c>
      <c r="K170">
        <f>D170&amp;F170</f>
        <v/>
      </c>
    </row>
    <row r="171" ht="14.4" customHeight="1" s="88">
      <c r="D171" s="6" t="inlineStr">
        <is>
          <t>广东OPPO花都省仓(科捷)</t>
        </is>
      </c>
      <c r="E171" t="n">
        <v>443</v>
      </c>
      <c r="F171" s="6" t="inlineStr">
        <is>
          <t>4400</t>
        </is>
      </c>
      <c r="G171" s="6" t="inlineStr">
        <is>
          <t>2213</t>
        </is>
      </c>
      <c r="H171" s="6">
        <f>D171&amp;F171&amp;G171</f>
        <v/>
      </c>
      <c r="I171">
        <f>E171&amp;F171</f>
        <v/>
      </c>
      <c r="J171" s="1" t="inlineStr">
        <is>
          <t>花都省仓</t>
        </is>
      </c>
      <c r="K171">
        <f>D171&amp;F171</f>
        <v/>
      </c>
    </row>
    <row r="172" ht="14.4" customHeight="1" s="88">
      <c r="D172" s="6" t="inlineStr">
        <is>
          <t>广东OPPO花都省仓(科捷)</t>
        </is>
      </c>
      <c r="E172" t="n">
        <v>443</v>
      </c>
      <c r="F172" s="6" t="inlineStr">
        <is>
          <t>4400</t>
        </is>
      </c>
      <c r="G172" s="6" t="inlineStr">
        <is>
          <t>2215</t>
        </is>
      </c>
      <c r="H172" s="6">
        <f>D172&amp;F172&amp;G172</f>
        <v/>
      </c>
      <c r="I172">
        <f>E172&amp;F172</f>
        <v/>
      </c>
      <c r="J172" s="1" t="inlineStr">
        <is>
          <t>花都省仓</t>
        </is>
      </c>
      <c r="K172">
        <f>D172&amp;F172</f>
        <v/>
      </c>
    </row>
    <row r="173" ht="14.4" customHeight="1" s="88">
      <c r="D173" s="6" t="inlineStr">
        <is>
          <t>广东OPPO花都省仓(科捷)</t>
        </is>
      </c>
      <c r="E173" t="n">
        <v>443</v>
      </c>
      <c r="F173" s="6" t="inlineStr">
        <is>
          <t>4400</t>
        </is>
      </c>
      <c r="G173" s="6" t="inlineStr">
        <is>
          <t>2216</t>
        </is>
      </c>
      <c r="H173" s="6">
        <f>D173&amp;F173&amp;G173</f>
        <v/>
      </c>
      <c r="I173">
        <f>E173&amp;F173</f>
        <v/>
      </c>
      <c r="J173" s="1" t="inlineStr">
        <is>
          <t>花都省仓</t>
        </is>
      </c>
      <c r="K173">
        <f>D173&amp;F173</f>
        <v/>
      </c>
    </row>
    <row r="174" ht="14.4" customHeight="1" s="88">
      <c r="D174" s="6" t="inlineStr">
        <is>
          <t>广东OPPO花都省仓(科捷)</t>
        </is>
      </c>
      <c r="E174" t="n">
        <v>443</v>
      </c>
      <c r="F174" s="6" t="inlineStr">
        <is>
          <t>4400</t>
        </is>
      </c>
      <c r="G174" s="6" t="inlineStr">
        <is>
          <t>2218</t>
        </is>
      </c>
      <c r="H174" s="6">
        <f>D174&amp;F174&amp;G174</f>
        <v/>
      </c>
      <c r="I174">
        <f>E174&amp;F174</f>
        <v/>
      </c>
      <c r="J174" s="1" t="inlineStr">
        <is>
          <t>花都省仓</t>
        </is>
      </c>
      <c r="K174">
        <f>D174&amp;F174</f>
        <v/>
      </c>
    </row>
    <row r="175" hidden="1" ht="15.6" customHeight="1" s="88">
      <c r="D175" s="5" t="inlineStr">
        <is>
          <t>广东广州市省仓(科捷)</t>
        </is>
      </c>
      <c r="E175" s="5" t="n">
        <v>440</v>
      </c>
      <c r="F175" s="6" t="inlineStr">
        <is>
          <t>4400</t>
        </is>
      </c>
      <c r="G175" s="6" t="inlineStr">
        <is>
          <t>2217</t>
        </is>
      </c>
      <c r="H175" s="6">
        <f>D175&amp;F175&amp;G175</f>
        <v/>
      </c>
      <c r="I175">
        <f>E175&amp;F175</f>
        <v/>
      </c>
      <c r="J175" s="1" t="inlineStr">
        <is>
          <t>增城省仓</t>
        </is>
      </c>
      <c r="K175">
        <f>D175&amp;F175</f>
        <v/>
      </c>
    </row>
    <row r="176" hidden="1" ht="15.6" customHeight="1" s="88">
      <c r="D176" s="5" t="inlineStr">
        <is>
          <t>广东广州市省仓(科捷)</t>
        </is>
      </c>
      <c r="E176" s="5" t="n">
        <v>440</v>
      </c>
      <c r="F176" s="6" t="inlineStr">
        <is>
          <t>9418</t>
        </is>
      </c>
      <c r="G176" s="6" t="inlineStr">
        <is>
          <t>Z001</t>
        </is>
      </c>
      <c r="H176" s="6">
        <f>D176&amp;F176&amp;G176</f>
        <v/>
      </c>
      <c r="I176">
        <f>E176&amp;F176</f>
        <v/>
      </c>
      <c r="J176" s="1" t="inlineStr">
        <is>
          <t>外部业务</t>
        </is>
      </c>
      <c r="K176">
        <f>D176&amp;F176</f>
        <v/>
      </c>
    </row>
    <row r="177" hidden="1" ht="14.4" customHeight="1" s="88">
      <c r="D177" s="6" t="inlineStr">
        <is>
          <t>广东VIVO南沙专仓</t>
        </is>
      </c>
      <c r="E177" t="n">
        <v>445</v>
      </c>
      <c r="F177" s="6" t="inlineStr">
        <is>
          <t>4450</t>
        </is>
      </c>
      <c r="G177" s="6" t="inlineStr">
        <is>
          <t>2324</t>
        </is>
      </c>
      <c r="H177" s="6">
        <f>D177&amp;F177&amp;G177</f>
        <v/>
      </c>
      <c r="I177">
        <f>E177&amp;F177</f>
        <v/>
      </c>
      <c r="J177" s="6" t="inlineStr">
        <is>
          <t>南沙省仓</t>
        </is>
      </c>
      <c r="K177">
        <f>D177&amp;F177</f>
        <v/>
      </c>
    </row>
    <row r="178" hidden="1" ht="14.4" customHeight="1" s="88">
      <c r="D178" s="6" t="inlineStr">
        <is>
          <t>广东VIVO南沙专仓</t>
        </is>
      </c>
      <c r="E178" t="n">
        <v>445</v>
      </c>
      <c r="F178" s="6" t="inlineStr">
        <is>
          <t>4400</t>
        </is>
      </c>
      <c r="G178" s="6" t="inlineStr">
        <is>
          <t>2373</t>
        </is>
      </c>
      <c r="H178" s="6">
        <f>D178&amp;F178&amp;G178</f>
        <v/>
      </c>
      <c r="I178">
        <f>E178&amp;F178</f>
        <v/>
      </c>
      <c r="J178" s="6" t="inlineStr">
        <is>
          <t>南沙省仓</t>
        </is>
      </c>
      <c r="K178">
        <f>D178&amp;F178</f>
        <v/>
      </c>
    </row>
    <row r="179" hidden="1" ht="14.4" customHeight="1" s="88">
      <c r="D179" s="6" t="inlineStr">
        <is>
          <t>广东VIVO南沙专仓</t>
        </is>
      </c>
      <c r="E179" t="n">
        <v>445</v>
      </c>
      <c r="F179" s="6" t="inlineStr">
        <is>
          <t>4400</t>
        </is>
      </c>
      <c r="G179" s="7" t="n">
        <v>2379</v>
      </c>
      <c r="H179" s="6">
        <f>D179&amp;F179&amp;G179</f>
        <v/>
      </c>
      <c r="I179">
        <f>E179&amp;F179</f>
        <v/>
      </c>
      <c r="J179" s="6" t="inlineStr">
        <is>
          <t>南沙省仓</t>
        </is>
      </c>
      <c r="K179">
        <f>D179&amp;F179</f>
        <v/>
      </c>
    </row>
    <row r="180" hidden="1" ht="14.4" customHeight="1" s="88">
      <c r="D180" s="6" t="inlineStr">
        <is>
          <t>广东VIVO南沙专仓</t>
        </is>
      </c>
      <c r="E180" t="n">
        <v>445</v>
      </c>
      <c r="F180" s="6" t="inlineStr">
        <is>
          <t>4400</t>
        </is>
      </c>
      <c r="G180" s="7" t="n">
        <v>2375</v>
      </c>
      <c r="H180" s="6">
        <f>D180&amp;F180&amp;G180</f>
        <v/>
      </c>
      <c r="I180">
        <f>E180&amp;F180</f>
        <v/>
      </c>
      <c r="J180" s="6" t="inlineStr">
        <is>
          <t>南沙省仓</t>
        </is>
      </c>
      <c r="K180">
        <f>D180&amp;F180</f>
        <v/>
      </c>
    </row>
    <row r="181" hidden="1" ht="14.4" customHeight="1" s="88">
      <c r="D181" s="6" t="inlineStr">
        <is>
          <t>广东VIVO南沙专仓</t>
        </is>
      </c>
      <c r="E181" t="n">
        <v>445</v>
      </c>
      <c r="F181" s="6" t="inlineStr">
        <is>
          <t>4400</t>
        </is>
      </c>
      <c r="G181" s="7" t="n">
        <v>2373</v>
      </c>
      <c r="H181" s="6">
        <f>D181&amp;F181&amp;G181</f>
        <v/>
      </c>
      <c r="I181">
        <f>E181&amp;F181</f>
        <v/>
      </c>
      <c r="J181" s="6" t="inlineStr">
        <is>
          <t>南沙省仓</t>
        </is>
      </c>
      <c r="K181">
        <f>D181&amp;F181</f>
        <v/>
      </c>
    </row>
    <row r="182" hidden="1" ht="14.4" customHeight="1" s="88">
      <c r="D182" s="6" t="inlineStr">
        <is>
          <t>终端公司中珠中山仓</t>
        </is>
      </c>
      <c r="E182" s="6" t="inlineStr">
        <is>
          <t>448</t>
        </is>
      </c>
      <c r="F182" s="6" t="inlineStr">
        <is>
          <t>4400</t>
        </is>
      </c>
      <c r="G182" s="6" t="inlineStr">
        <is>
          <t>2380</t>
        </is>
      </c>
      <c r="H182" s="6">
        <f>D182&amp;F182&amp;G182</f>
        <v/>
      </c>
      <c r="I182">
        <f>E182&amp;F182</f>
        <v/>
      </c>
      <c r="J182" s="6" t="inlineStr">
        <is>
          <t>中珠省仓</t>
        </is>
      </c>
      <c r="K182">
        <f>D182&amp;F182</f>
        <v/>
      </c>
    </row>
    <row r="183" hidden="1" ht="14.4" customHeight="1" s="88">
      <c r="D183" s="6" t="inlineStr">
        <is>
          <t>终端公司中珠中山仓</t>
        </is>
      </c>
      <c r="E183" s="6" t="inlineStr">
        <is>
          <t>448</t>
        </is>
      </c>
      <c r="F183" s="6" t="inlineStr">
        <is>
          <t>4400</t>
        </is>
      </c>
      <c r="G183" s="7" t="n">
        <v>2382</v>
      </c>
      <c r="H183" s="6">
        <f>D183&amp;F183&amp;G183</f>
        <v/>
      </c>
      <c r="I183">
        <f>E183&amp;F183</f>
        <v/>
      </c>
      <c r="J183" s="6" t="inlineStr">
        <is>
          <t>中珠省仓</t>
        </is>
      </c>
      <c r="K183">
        <f>D183&amp;F183</f>
        <v/>
      </c>
    </row>
    <row r="184" hidden="1" ht="14.4" customHeight="1" s="88">
      <c r="D184" s="6" t="inlineStr">
        <is>
          <t>终端公司中珠中山仓</t>
        </is>
      </c>
      <c r="E184" s="6" t="inlineStr">
        <is>
          <t>448</t>
        </is>
      </c>
      <c r="F184" s="6" t="inlineStr">
        <is>
          <t>4400</t>
        </is>
      </c>
      <c r="G184" s="7" t="n">
        <v>2381</v>
      </c>
      <c r="H184" s="6">
        <f>D184&amp;F184&amp;G184</f>
        <v/>
      </c>
      <c r="I184">
        <f>E184&amp;F184</f>
        <v/>
      </c>
      <c r="J184" s="6" t="inlineStr">
        <is>
          <t>中珠省仓</t>
        </is>
      </c>
      <c r="K184">
        <f>D184&amp;F184</f>
        <v/>
      </c>
    </row>
    <row r="185" hidden="1" ht="14.4" customHeight="1" s="88">
      <c r="D185" s="6" t="inlineStr">
        <is>
          <t>终端公司中珠中山仓</t>
        </is>
      </c>
      <c r="E185" s="6" t="inlineStr">
        <is>
          <t>448</t>
        </is>
      </c>
      <c r="F185" s="6" t="inlineStr">
        <is>
          <t>4400</t>
        </is>
      </c>
      <c r="G185" s="7" t="n">
        <v>2383</v>
      </c>
      <c r="H185" s="6">
        <f>D185&amp;F185&amp;G185</f>
        <v/>
      </c>
      <c r="I185">
        <f>E185&amp;F185</f>
        <v/>
      </c>
      <c r="J185" s="6" t="inlineStr">
        <is>
          <t>中珠省仓</t>
        </is>
      </c>
      <c r="K185">
        <f>D185&amp;F185</f>
        <v/>
      </c>
    </row>
    <row r="186" hidden="1" ht="14.4" customHeight="1" s="88">
      <c r="D186" s="6" t="inlineStr">
        <is>
          <t>广东广州市省仓(科捷)</t>
        </is>
      </c>
      <c r="E186" t="n">
        <v>440</v>
      </c>
      <c r="F186" s="6" t="inlineStr">
        <is>
          <t>4400</t>
        </is>
      </c>
      <c r="G186" s="6" t="inlineStr">
        <is>
          <t>2384</t>
        </is>
      </c>
      <c r="H186" s="6">
        <f>D186&amp;F186&amp;G186</f>
        <v/>
      </c>
      <c r="I186">
        <f>E186&amp;F186</f>
        <v/>
      </c>
      <c r="J186" t="inlineStr">
        <is>
          <t>增城省仓</t>
        </is>
      </c>
      <c r="K186">
        <f>D186&amp;F186</f>
        <v/>
      </c>
    </row>
    <row r="187" hidden="1" ht="14.4" customHeight="1" s="88">
      <c r="D187" s="6" t="inlineStr">
        <is>
          <t>广东广州市省仓(科捷)</t>
        </is>
      </c>
      <c r="E187" t="n">
        <v>440</v>
      </c>
      <c r="F187" s="6" t="inlineStr">
        <is>
          <t>9091</t>
        </is>
      </c>
      <c r="G187" s="6" t="inlineStr">
        <is>
          <t>Z041</t>
        </is>
      </c>
      <c r="H187" s="6">
        <f>D187&amp;F187&amp;G187</f>
        <v/>
      </c>
      <c r="I187">
        <f>E187&amp;F187</f>
        <v/>
      </c>
      <c r="J187" t="inlineStr">
        <is>
          <t>外部业务</t>
        </is>
      </c>
      <c r="K187">
        <f>D187&amp;F187</f>
        <v/>
      </c>
    </row>
    <row r="188" hidden="1" ht="14.4" customHeight="1" s="88">
      <c r="D188" s="6" t="inlineStr">
        <is>
          <t>广东广州市省仓(科捷)</t>
        </is>
      </c>
      <c r="E188" t="n">
        <v>440</v>
      </c>
      <c r="F188" s="6" t="inlineStr">
        <is>
          <t>9117</t>
        </is>
      </c>
      <c r="G188" s="6" t="inlineStr">
        <is>
          <t>Z001</t>
        </is>
      </c>
      <c r="H188" s="6">
        <f>D188&amp;F188&amp;G188</f>
        <v/>
      </c>
      <c r="I188">
        <f>E188&amp;F188</f>
        <v/>
      </c>
      <c r="J188" t="inlineStr">
        <is>
          <t>外部业务</t>
        </is>
      </c>
      <c r="K188">
        <f>D188&amp;F188</f>
        <v/>
      </c>
    </row>
    <row r="189" hidden="1" ht="14.4" customHeight="1" s="88">
      <c r="D189" s="6" t="inlineStr">
        <is>
          <t>广东广州市省仓(科捷)</t>
        </is>
      </c>
      <c r="E189" t="n">
        <v>440</v>
      </c>
      <c r="F189" s="6" t="inlineStr">
        <is>
          <t>9141</t>
        </is>
      </c>
      <c r="G189" s="6" t="inlineStr">
        <is>
          <t>Z001</t>
        </is>
      </c>
      <c r="H189" s="6">
        <f>D189&amp;F189&amp;G189</f>
        <v/>
      </c>
      <c r="I189">
        <f>E189&amp;F189</f>
        <v/>
      </c>
      <c r="J189" t="inlineStr">
        <is>
          <t>外部业务</t>
        </is>
      </c>
      <c r="K189">
        <f>D189&amp;F189</f>
        <v/>
      </c>
    </row>
    <row r="190" hidden="1" ht="14.4" customHeight="1" s="88">
      <c r="D190" s="6" t="inlineStr">
        <is>
          <t>广东广州市省仓(科捷)</t>
        </is>
      </c>
      <c r="E190" t="n">
        <v>440</v>
      </c>
      <c r="F190" s="6" t="inlineStr">
        <is>
          <t>9141</t>
        </is>
      </c>
      <c r="G190" s="6" t="inlineStr">
        <is>
          <t>Z041</t>
        </is>
      </c>
      <c r="H190" s="6">
        <f>D190&amp;F190&amp;G190</f>
        <v/>
      </c>
      <c r="I190">
        <f>E190&amp;F190</f>
        <v/>
      </c>
      <c r="J190" t="inlineStr">
        <is>
          <t>外部业务</t>
        </is>
      </c>
      <c r="K190">
        <f>D190&amp;F190</f>
        <v/>
      </c>
    </row>
    <row r="191" ht="14.4" customHeight="1" s="88">
      <c r="D191" s="6" t="inlineStr">
        <is>
          <t>广东OPPO花都省仓(科捷)</t>
        </is>
      </c>
      <c r="E191" t="n">
        <v>443</v>
      </c>
      <c r="F191" s="6" t="inlineStr">
        <is>
          <t>4400</t>
        </is>
      </c>
      <c r="G191" s="6" t="inlineStr">
        <is>
          <t>2214</t>
        </is>
      </c>
      <c r="H191" s="6">
        <f>D191&amp;F191&amp;G191</f>
        <v/>
      </c>
      <c r="I191">
        <f>E191&amp;F191</f>
        <v/>
      </c>
      <c r="J191" s="1" t="inlineStr">
        <is>
          <t>花都省仓</t>
        </is>
      </c>
      <c r="K191">
        <f>D191&amp;F191</f>
        <v/>
      </c>
    </row>
    <row r="192" hidden="1" ht="14.4" customHeight="1" s="88">
      <c r="D192" s="6" t="inlineStr">
        <is>
          <t>广东VIVO南沙专仓</t>
        </is>
      </c>
      <c r="E192" t="n">
        <v>445</v>
      </c>
      <c r="F192" s="6" t="inlineStr">
        <is>
          <t>4400</t>
        </is>
      </c>
      <c r="G192" s="6" t="inlineStr">
        <is>
          <t>2371</t>
        </is>
      </c>
      <c r="H192" s="6">
        <f>D192&amp;F192&amp;G192</f>
        <v/>
      </c>
      <c r="I192">
        <f>E192&amp;F192</f>
        <v/>
      </c>
      <c r="J192" s="6" t="inlineStr">
        <is>
          <t>南沙省仓</t>
        </is>
      </c>
      <c r="K192">
        <f>D192&amp;F192</f>
        <v/>
      </c>
    </row>
    <row r="193" hidden="1" ht="14.4" customHeight="1" s="88">
      <c r="D193" s="3" t="inlineStr">
        <is>
          <t>广东荣耀东莞专仓</t>
        </is>
      </c>
      <c r="E193" t="n">
        <v>449</v>
      </c>
      <c r="F193" t="n">
        <v>4400</v>
      </c>
      <c r="G193" t="n">
        <v>2235</v>
      </c>
      <c r="H193" s="6">
        <f>D193&amp;F193&amp;G193</f>
        <v/>
      </c>
      <c r="I193">
        <f>E193&amp;F193</f>
        <v/>
      </c>
      <c r="J193" s="3" t="inlineStr">
        <is>
          <t>东莞省仓</t>
        </is>
      </c>
      <c r="K193">
        <f>D193&amp;F193</f>
        <v/>
      </c>
    </row>
    <row r="194" hidden="1" ht="14.4" customHeight="1" s="88">
      <c r="D194" s="3" t="inlineStr">
        <is>
          <t>广东荣耀东莞专仓</t>
        </is>
      </c>
      <c r="E194" t="n">
        <v>449</v>
      </c>
      <c r="F194" t="n">
        <v>4400</v>
      </c>
      <c r="G194" t="n">
        <v>2234</v>
      </c>
      <c r="H194" s="6">
        <f>D194&amp;F194&amp;G194</f>
        <v/>
      </c>
      <c r="I194">
        <f>E194&amp;F194</f>
        <v/>
      </c>
      <c r="J194" s="3" t="inlineStr">
        <is>
          <t>东莞省仓</t>
        </is>
      </c>
      <c r="K194">
        <f>D194&amp;F194</f>
        <v/>
      </c>
    </row>
    <row r="195" hidden="1" ht="14.4" customHeight="1" s="88">
      <c r="D195" s="3" t="inlineStr">
        <is>
          <t>广东荣耀东莞专仓</t>
        </is>
      </c>
      <c r="E195" t="n">
        <v>449</v>
      </c>
      <c r="F195" t="n">
        <v>4400</v>
      </c>
      <c r="G195" t="n">
        <v>2222</v>
      </c>
      <c r="H195" s="6">
        <f>D195&amp;F195&amp;G195</f>
        <v/>
      </c>
      <c r="I195">
        <f>E195&amp;F195</f>
        <v/>
      </c>
      <c r="J195" s="3" t="inlineStr">
        <is>
          <t>东莞省仓</t>
        </is>
      </c>
      <c r="K195">
        <f>D195&amp;F195</f>
        <v/>
      </c>
    </row>
    <row r="196" hidden="1" ht="14.4" customHeight="1" s="88">
      <c r="D196" s="3" t="inlineStr">
        <is>
          <t>广东荣耀东莞专仓</t>
        </is>
      </c>
      <c r="E196" t="n">
        <v>449</v>
      </c>
      <c r="F196" t="n">
        <v>4400</v>
      </c>
      <c r="G196" t="n">
        <v>2223</v>
      </c>
      <c r="H196" s="6">
        <f>D196&amp;F196&amp;G196</f>
        <v/>
      </c>
      <c r="I196">
        <f>E196&amp;F196</f>
        <v/>
      </c>
      <c r="J196" s="3" t="inlineStr">
        <is>
          <t>东莞省仓</t>
        </is>
      </c>
      <c r="K196">
        <f>D196&amp;F196</f>
        <v/>
      </c>
    </row>
    <row r="197" hidden="1" ht="14.4" customHeight="1" s="88">
      <c r="D197" s="3" t="inlineStr">
        <is>
          <t>广东荣耀东莞专仓</t>
        </is>
      </c>
      <c r="E197" t="n">
        <v>449</v>
      </c>
      <c r="F197" t="n">
        <v>4400</v>
      </c>
      <c r="G197" t="n">
        <v>2224</v>
      </c>
      <c r="H197" s="6">
        <f>D197&amp;F197&amp;G197</f>
        <v/>
      </c>
      <c r="I197">
        <f>E197&amp;F197</f>
        <v/>
      </c>
      <c r="J197" s="3" t="inlineStr">
        <is>
          <t>东莞省仓</t>
        </is>
      </c>
      <c r="K197">
        <f>D197&amp;F197</f>
        <v/>
      </c>
    </row>
    <row r="198" hidden="1" ht="14.4" customHeight="1" s="88">
      <c r="D198" s="3" t="inlineStr">
        <is>
          <t>广东荣耀东莞专仓</t>
        </is>
      </c>
      <c r="E198" t="n">
        <v>449</v>
      </c>
      <c r="F198" t="n">
        <v>4400</v>
      </c>
      <c r="G198" t="n">
        <v>2225</v>
      </c>
      <c r="H198" s="6">
        <f>D198&amp;F198&amp;G198</f>
        <v/>
      </c>
      <c r="I198">
        <f>E198&amp;F198</f>
        <v/>
      </c>
      <c r="J198" s="3" t="inlineStr">
        <is>
          <t>东莞省仓</t>
        </is>
      </c>
      <c r="K198">
        <f>D198&amp;F198</f>
        <v/>
      </c>
    </row>
  </sheetData>
  <autoFilter ref="D1:K198">
    <filterColumn colId="1" hiddenButton="0" showButton="1">
      <customFilters>
        <customFilter val="443" operator="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2021-05-29T09:54:00Z</dcterms:created>
  <dcterms:modified xmlns:dcterms="http://purl.org/dc/terms/" xmlns:xsi="http://www.w3.org/2001/XMLSchema-instance" xsi:type="dcterms:W3CDTF">2026-06-23T08:20:05Z</dcterms:modified>
  <cp:lastModifiedBy>瑶玥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FD58DE705425442099C4574FA0A3E7AD_13</vt:lpwstr>
  </property>
  <property name="KSOReadingLayout" fmtid="{D5CDD505-2E9C-101B-9397-08002B2CF9AE}" pid="4">
    <vt:bool xmlns:vt="http://schemas.openxmlformats.org/officeDocument/2006/docPropsVTypes">1</vt:bool>
  </property>
  <property name="commondata" fmtid="{D5CDD505-2E9C-101B-9397-08002B2CF9AE}" pid="5">
    <vt:lpwstr xmlns:vt="http://schemas.openxmlformats.org/officeDocument/2006/docPropsVTypes">eyJoZGlkIjoiYjIyNjY2NTcyOTQwNDJiZTUyMDUyYTE5MTc5YTI3YWIifQ==</vt:lpwstr>
  </property>
  <property name="CalculationRule" fmtid="{D5CDD505-2E9C-101B-9397-08002B2CF9AE}" pid="6">
    <vt:i4 xmlns:vt="http://schemas.openxmlformats.org/officeDocument/2006/docPropsVTypes">0</vt:i4>
  </property>
</Properties>
</file>